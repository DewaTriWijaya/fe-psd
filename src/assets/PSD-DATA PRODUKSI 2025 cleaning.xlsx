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wat\Desktop\"/>
    </mc:Choice>
  </mc:AlternateContent>
  <xr:revisionPtr revIDLastSave="0" documentId="13_ncr:1_{D8E7414C-E0F5-4A39-B53E-5172C74625A8}" xr6:coauthVersionLast="47" xr6:coauthVersionMax="47" xr10:uidLastSave="{00000000-0000-0000-0000-000000000000}"/>
  <bookViews>
    <workbookView xWindow="-120" yWindow="-120" windowWidth="29040" windowHeight="15720" tabRatio="918" xr2:uid="{00000000-000D-0000-FFFF-FFFF00000000}"/>
  </bookViews>
  <sheets>
    <sheet name="PADI" sheetId="2" r:id="rId1"/>
    <sheet name="CABAI" sheetId="3" r:id="rId2"/>
    <sheet name="JAGUNG" sheetId="4" r:id="rId3"/>
    <sheet name="BAWANG MERAH" sheetId="5" r:id="rId4"/>
    <sheet name="JAHE" sheetId="6" r:id="rId5"/>
    <sheet name="KENTANG" sheetId="7" r:id="rId6"/>
    <sheet name="JERUK" sheetId="8" r:id="rId7"/>
    <sheet name="TEH" sheetId="9" r:id="rId8"/>
    <sheet name="KOPI" sheetId="15" r:id="rId9"/>
    <sheet name="Rekap" sheetId="22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2" l="1"/>
  <c r="Q6" i="2" s="1" a="1"/>
  <c r="Q6" i="2" s="1"/>
  <c r="F9" i="22"/>
  <c r="F4" i="22"/>
  <c r="I11" i="22"/>
  <c r="I10" i="22"/>
  <c r="I9" i="22"/>
  <c r="I8" i="22"/>
  <c r="I7" i="22"/>
  <c r="I6" i="22"/>
  <c r="I5" i="22"/>
  <c r="I4" i="22"/>
  <c r="I3" i="22"/>
  <c r="I2" i="22"/>
  <c r="E11" i="22"/>
  <c r="O95" i="15"/>
  <c r="N95" i="15"/>
  <c r="M95" i="15"/>
  <c r="L95" i="15"/>
  <c r="K95" i="15"/>
  <c r="J95" i="15"/>
  <c r="I95" i="15"/>
  <c r="H95" i="15"/>
  <c r="G95" i="15"/>
  <c r="F95" i="15"/>
  <c r="E95" i="15"/>
  <c r="E47" i="15" s="1"/>
  <c r="D95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O93" i="15"/>
  <c r="N93" i="15"/>
  <c r="M93" i="15"/>
  <c r="L93" i="15"/>
  <c r="K93" i="15"/>
  <c r="J93" i="15"/>
  <c r="I93" i="15"/>
  <c r="H93" i="15"/>
  <c r="G93" i="15"/>
  <c r="F93" i="15"/>
  <c r="E93" i="15"/>
  <c r="E45" i="15" s="1"/>
  <c r="D93" i="15"/>
  <c r="O92" i="15"/>
  <c r="N92" i="15"/>
  <c r="M92" i="15"/>
  <c r="L92" i="15"/>
  <c r="K92" i="15"/>
  <c r="J92" i="15"/>
  <c r="I92" i="15"/>
  <c r="H92" i="15"/>
  <c r="G92" i="15"/>
  <c r="F92" i="15"/>
  <c r="E92" i="15"/>
  <c r="E44" i="15" s="1"/>
  <c r="D92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O87" i="15"/>
  <c r="N87" i="15"/>
  <c r="M87" i="15"/>
  <c r="L87" i="15"/>
  <c r="K87" i="15"/>
  <c r="J87" i="15"/>
  <c r="I87" i="15"/>
  <c r="H87" i="15"/>
  <c r="G87" i="15"/>
  <c r="F87" i="15"/>
  <c r="E87" i="15"/>
  <c r="E39" i="15" s="1"/>
  <c r="D87" i="15"/>
  <c r="O86" i="15"/>
  <c r="N86" i="15"/>
  <c r="M86" i="15"/>
  <c r="L86" i="15"/>
  <c r="K86" i="15"/>
  <c r="J86" i="15"/>
  <c r="I86" i="15"/>
  <c r="H86" i="15"/>
  <c r="G86" i="15"/>
  <c r="F86" i="15"/>
  <c r="E86" i="15"/>
  <c r="E38" i="15" s="1"/>
  <c r="D86" i="15"/>
  <c r="O85" i="15"/>
  <c r="N85" i="15"/>
  <c r="M85" i="15"/>
  <c r="L85" i="15"/>
  <c r="K85" i="15"/>
  <c r="J85" i="15"/>
  <c r="I85" i="15"/>
  <c r="H85" i="15"/>
  <c r="G85" i="15"/>
  <c r="F85" i="15"/>
  <c r="E85" i="15"/>
  <c r="E37" i="15" s="1"/>
  <c r="D85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O80" i="15"/>
  <c r="N80" i="15"/>
  <c r="M80" i="15"/>
  <c r="L80" i="15"/>
  <c r="K80" i="15"/>
  <c r="J80" i="15"/>
  <c r="I80" i="15"/>
  <c r="H80" i="15"/>
  <c r="G80" i="15"/>
  <c r="F80" i="15"/>
  <c r="E80" i="15"/>
  <c r="E32" i="15" s="1"/>
  <c r="D80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O77" i="15"/>
  <c r="N77" i="15"/>
  <c r="M77" i="15"/>
  <c r="L77" i="15"/>
  <c r="K77" i="15"/>
  <c r="J77" i="15"/>
  <c r="I77" i="15"/>
  <c r="H77" i="15"/>
  <c r="G77" i="15"/>
  <c r="F77" i="15"/>
  <c r="E77" i="15"/>
  <c r="E29" i="15" s="1"/>
  <c r="D77" i="15"/>
  <c r="O76" i="15"/>
  <c r="N76" i="15"/>
  <c r="M76" i="15"/>
  <c r="L76" i="15"/>
  <c r="K76" i="15"/>
  <c r="J76" i="15"/>
  <c r="I76" i="15"/>
  <c r="H76" i="15"/>
  <c r="G76" i="15"/>
  <c r="F76" i="15"/>
  <c r="E76" i="15"/>
  <c r="E28" i="15" s="1"/>
  <c r="D76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O74" i="15"/>
  <c r="N74" i="15"/>
  <c r="M74" i="15"/>
  <c r="L74" i="15"/>
  <c r="K74" i="15"/>
  <c r="J74" i="15"/>
  <c r="I74" i="15"/>
  <c r="H74" i="15"/>
  <c r="G74" i="15"/>
  <c r="F74" i="15"/>
  <c r="E74" i="15"/>
  <c r="E26" i="15" s="1"/>
  <c r="D74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O71" i="15"/>
  <c r="N71" i="15"/>
  <c r="M71" i="15"/>
  <c r="L71" i="15"/>
  <c r="K71" i="15"/>
  <c r="J71" i="15"/>
  <c r="I71" i="15"/>
  <c r="H71" i="15"/>
  <c r="G71" i="15"/>
  <c r="F71" i="15"/>
  <c r="E71" i="15"/>
  <c r="E23" i="15" s="1"/>
  <c r="D71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O69" i="15"/>
  <c r="N69" i="15"/>
  <c r="M69" i="15"/>
  <c r="L69" i="15"/>
  <c r="K69" i="15"/>
  <c r="J69" i="15"/>
  <c r="I69" i="15"/>
  <c r="H69" i="15"/>
  <c r="G69" i="15"/>
  <c r="F69" i="15"/>
  <c r="E69" i="15"/>
  <c r="E21" i="15" s="1"/>
  <c r="D69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O64" i="15"/>
  <c r="N64" i="15"/>
  <c r="M64" i="15"/>
  <c r="L64" i="15"/>
  <c r="K64" i="15"/>
  <c r="J64" i="15"/>
  <c r="I64" i="15"/>
  <c r="H64" i="15"/>
  <c r="G64" i="15"/>
  <c r="F64" i="15"/>
  <c r="E64" i="15"/>
  <c r="E16" i="15" s="1"/>
  <c r="D64" i="15"/>
  <c r="O63" i="15"/>
  <c r="N63" i="15"/>
  <c r="M63" i="15"/>
  <c r="L63" i="15"/>
  <c r="K63" i="15"/>
  <c r="J63" i="15"/>
  <c r="I63" i="15"/>
  <c r="H63" i="15"/>
  <c r="G63" i="15"/>
  <c r="F63" i="15"/>
  <c r="E63" i="15"/>
  <c r="E15" i="15" s="1"/>
  <c r="D63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O59" i="15"/>
  <c r="N59" i="15"/>
  <c r="M59" i="15"/>
  <c r="L59" i="15"/>
  <c r="K59" i="15"/>
  <c r="J59" i="15"/>
  <c r="I59" i="15"/>
  <c r="H59" i="15"/>
  <c r="G59" i="15"/>
  <c r="F59" i="15"/>
  <c r="E59" i="15"/>
  <c r="E11" i="15" s="1"/>
  <c r="D59" i="15"/>
  <c r="O58" i="15"/>
  <c r="N58" i="15"/>
  <c r="M58" i="15"/>
  <c r="L58" i="15"/>
  <c r="K58" i="15"/>
  <c r="J58" i="15"/>
  <c r="I58" i="15"/>
  <c r="H58" i="15"/>
  <c r="G58" i="15"/>
  <c r="F58" i="15"/>
  <c r="E58" i="15"/>
  <c r="E10" i="15" s="1"/>
  <c r="D58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O56" i="15"/>
  <c r="N56" i="15"/>
  <c r="M56" i="15"/>
  <c r="L56" i="15"/>
  <c r="K56" i="15"/>
  <c r="J56" i="15"/>
  <c r="I56" i="15"/>
  <c r="H56" i="15"/>
  <c r="G56" i="15"/>
  <c r="F56" i="15"/>
  <c r="E56" i="15"/>
  <c r="E8" i="15" s="1"/>
  <c r="D56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P52" i="15" s="1"/>
  <c r="O48" i="15"/>
  <c r="N48" i="15"/>
  <c r="M48" i="15"/>
  <c r="L48" i="15"/>
  <c r="K48" i="15"/>
  <c r="J48" i="15"/>
  <c r="I48" i="15"/>
  <c r="H48" i="15"/>
  <c r="G48" i="15"/>
  <c r="F48" i="15"/>
  <c r="D48" i="15"/>
  <c r="C48" i="15"/>
  <c r="P47" i="15"/>
  <c r="Q47" i="15" s="1"/>
  <c r="Q46" i="15"/>
  <c r="P46" i="15"/>
  <c r="E46" i="15"/>
  <c r="P44" i="15"/>
  <c r="Q44" i="15" s="1"/>
  <c r="E43" i="15"/>
  <c r="E42" i="15"/>
  <c r="P41" i="15"/>
  <c r="Q41" i="15" s="1"/>
  <c r="E41" i="15"/>
  <c r="P40" i="15"/>
  <c r="E40" i="15"/>
  <c r="P38" i="15"/>
  <c r="Q38" i="15" s="1"/>
  <c r="Q36" i="15"/>
  <c r="P36" i="15"/>
  <c r="E36" i="15"/>
  <c r="P35" i="15"/>
  <c r="Q35" i="15" s="1"/>
  <c r="E35" i="15"/>
  <c r="E34" i="15"/>
  <c r="E33" i="15"/>
  <c r="E31" i="15"/>
  <c r="E30" i="15"/>
  <c r="Q29" i="15"/>
  <c r="P29" i="15"/>
  <c r="Q28" i="15"/>
  <c r="P28" i="15"/>
  <c r="E27" i="15"/>
  <c r="E25" i="15"/>
  <c r="E24" i="15"/>
  <c r="E22" i="15"/>
  <c r="Q20" i="15"/>
  <c r="P20" i="15"/>
  <c r="E20" i="15"/>
  <c r="E19" i="15"/>
  <c r="E18" i="15"/>
  <c r="E17" i="15"/>
  <c r="Q15" i="15"/>
  <c r="P15" i="15"/>
  <c r="E14" i="15"/>
  <c r="Q13" i="15"/>
  <c r="P13" i="15"/>
  <c r="E13" i="15"/>
  <c r="E12" i="15"/>
  <c r="B9" i="22"/>
  <c r="P9" i="15"/>
  <c r="Q9" i="15" s="1"/>
  <c r="E9" i="15"/>
  <c r="P7" i="15"/>
  <c r="Q7" i="15" s="1"/>
  <c r="E7" i="15"/>
  <c r="E6" i="15"/>
  <c r="O95" i="9"/>
  <c r="N95" i="9"/>
  <c r="M95" i="9"/>
  <c r="L95" i="9"/>
  <c r="K95" i="9"/>
  <c r="J95" i="9"/>
  <c r="I95" i="9"/>
  <c r="H95" i="9"/>
  <c r="G95" i="9"/>
  <c r="F95" i="9"/>
  <c r="O94" i="9"/>
  <c r="N94" i="9"/>
  <c r="M94" i="9"/>
  <c r="L94" i="9"/>
  <c r="K94" i="9"/>
  <c r="J94" i="9"/>
  <c r="I94" i="9"/>
  <c r="H94" i="9"/>
  <c r="G94" i="9"/>
  <c r="F94" i="9"/>
  <c r="O93" i="9"/>
  <c r="N93" i="9"/>
  <c r="M93" i="9"/>
  <c r="L93" i="9"/>
  <c r="K93" i="9"/>
  <c r="J93" i="9"/>
  <c r="I93" i="9"/>
  <c r="H93" i="9"/>
  <c r="G93" i="9"/>
  <c r="F93" i="9"/>
  <c r="O92" i="9"/>
  <c r="N92" i="9"/>
  <c r="M92" i="9"/>
  <c r="L92" i="9"/>
  <c r="K92" i="9"/>
  <c r="J92" i="9"/>
  <c r="I92" i="9"/>
  <c r="H92" i="9"/>
  <c r="G92" i="9"/>
  <c r="F92" i="9"/>
  <c r="O91" i="9"/>
  <c r="N91" i="9"/>
  <c r="M91" i="9"/>
  <c r="L91" i="9"/>
  <c r="K91" i="9"/>
  <c r="J91" i="9"/>
  <c r="I91" i="9"/>
  <c r="H91" i="9"/>
  <c r="G91" i="9"/>
  <c r="F91" i="9"/>
  <c r="O90" i="9"/>
  <c r="N90" i="9"/>
  <c r="M90" i="9"/>
  <c r="L90" i="9"/>
  <c r="K90" i="9"/>
  <c r="J90" i="9"/>
  <c r="I90" i="9"/>
  <c r="H90" i="9"/>
  <c r="G90" i="9"/>
  <c r="F90" i="9"/>
  <c r="O89" i="9"/>
  <c r="N89" i="9"/>
  <c r="M89" i="9"/>
  <c r="L89" i="9"/>
  <c r="K89" i="9"/>
  <c r="J89" i="9"/>
  <c r="I89" i="9"/>
  <c r="H89" i="9"/>
  <c r="G89" i="9"/>
  <c r="F89" i="9"/>
  <c r="O88" i="9"/>
  <c r="N88" i="9"/>
  <c r="M88" i="9"/>
  <c r="L88" i="9"/>
  <c r="K88" i="9"/>
  <c r="J88" i="9"/>
  <c r="I88" i="9"/>
  <c r="H88" i="9"/>
  <c r="G88" i="9"/>
  <c r="F88" i="9"/>
  <c r="O87" i="9"/>
  <c r="N87" i="9"/>
  <c r="M87" i="9"/>
  <c r="L87" i="9"/>
  <c r="K87" i="9"/>
  <c r="J87" i="9"/>
  <c r="I87" i="9"/>
  <c r="H87" i="9"/>
  <c r="G87" i="9"/>
  <c r="F87" i="9"/>
  <c r="O86" i="9"/>
  <c r="N86" i="9"/>
  <c r="M86" i="9"/>
  <c r="L86" i="9"/>
  <c r="K86" i="9"/>
  <c r="J86" i="9"/>
  <c r="I86" i="9"/>
  <c r="H86" i="9"/>
  <c r="G86" i="9"/>
  <c r="F86" i="9"/>
  <c r="O85" i="9"/>
  <c r="N85" i="9"/>
  <c r="M85" i="9"/>
  <c r="L85" i="9"/>
  <c r="K85" i="9"/>
  <c r="J85" i="9"/>
  <c r="I85" i="9"/>
  <c r="H85" i="9"/>
  <c r="G85" i="9"/>
  <c r="F85" i="9"/>
  <c r="O84" i="9"/>
  <c r="N84" i="9"/>
  <c r="M84" i="9"/>
  <c r="L84" i="9"/>
  <c r="K84" i="9"/>
  <c r="J84" i="9"/>
  <c r="I84" i="9"/>
  <c r="H84" i="9"/>
  <c r="G84" i="9"/>
  <c r="F84" i="9"/>
  <c r="O83" i="9"/>
  <c r="N83" i="9"/>
  <c r="M83" i="9"/>
  <c r="L83" i="9"/>
  <c r="K83" i="9"/>
  <c r="J83" i="9"/>
  <c r="I83" i="9"/>
  <c r="H83" i="9"/>
  <c r="G83" i="9"/>
  <c r="F83" i="9"/>
  <c r="O82" i="9"/>
  <c r="N82" i="9"/>
  <c r="M82" i="9"/>
  <c r="L82" i="9"/>
  <c r="K82" i="9"/>
  <c r="J82" i="9"/>
  <c r="I82" i="9"/>
  <c r="H82" i="9"/>
  <c r="G82" i="9"/>
  <c r="F82" i="9"/>
  <c r="O81" i="9"/>
  <c r="N81" i="9"/>
  <c r="M81" i="9"/>
  <c r="L81" i="9"/>
  <c r="K81" i="9"/>
  <c r="J81" i="9"/>
  <c r="I81" i="9"/>
  <c r="H81" i="9"/>
  <c r="G81" i="9"/>
  <c r="F81" i="9"/>
  <c r="O80" i="9"/>
  <c r="N80" i="9"/>
  <c r="M80" i="9"/>
  <c r="L80" i="9"/>
  <c r="K80" i="9"/>
  <c r="J80" i="9"/>
  <c r="I80" i="9"/>
  <c r="H80" i="9"/>
  <c r="G80" i="9"/>
  <c r="F80" i="9"/>
  <c r="O79" i="9"/>
  <c r="N79" i="9"/>
  <c r="M79" i="9"/>
  <c r="L79" i="9"/>
  <c r="K79" i="9"/>
  <c r="J79" i="9"/>
  <c r="I79" i="9"/>
  <c r="H79" i="9"/>
  <c r="G79" i="9"/>
  <c r="F79" i="9"/>
  <c r="O78" i="9"/>
  <c r="N78" i="9"/>
  <c r="M78" i="9"/>
  <c r="L78" i="9"/>
  <c r="K78" i="9"/>
  <c r="J78" i="9"/>
  <c r="I78" i="9"/>
  <c r="H78" i="9"/>
  <c r="G78" i="9"/>
  <c r="F78" i="9"/>
  <c r="O77" i="9"/>
  <c r="N77" i="9"/>
  <c r="M77" i="9"/>
  <c r="L77" i="9"/>
  <c r="K77" i="9"/>
  <c r="J77" i="9"/>
  <c r="I77" i="9"/>
  <c r="H77" i="9"/>
  <c r="G77" i="9"/>
  <c r="F77" i="9"/>
  <c r="O76" i="9"/>
  <c r="N76" i="9"/>
  <c r="M76" i="9"/>
  <c r="L76" i="9"/>
  <c r="K76" i="9"/>
  <c r="J76" i="9"/>
  <c r="I76" i="9"/>
  <c r="H76" i="9"/>
  <c r="G76" i="9"/>
  <c r="F76" i="9"/>
  <c r="O75" i="9"/>
  <c r="N75" i="9"/>
  <c r="M75" i="9"/>
  <c r="L75" i="9"/>
  <c r="K75" i="9"/>
  <c r="J75" i="9"/>
  <c r="I75" i="9"/>
  <c r="H75" i="9"/>
  <c r="G75" i="9"/>
  <c r="F75" i="9"/>
  <c r="O74" i="9"/>
  <c r="N74" i="9"/>
  <c r="M74" i="9"/>
  <c r="L74" i="9"/>
  <c r="K74" i="9"/>
  <c r="J74" i="9"/>
  <c r="I74" i="9"/>
  <c r="H74" i="9"/>
  <c r="G74" i="9"/>
  <c r="F74" i="9"/>
  <c r="O73" i="9"/>
  <c r="N73" i="9"/>
  <c r="M73" i="9"/>
  <c r="L73" i="9"/>
  <c r="K73" i="9"/>
  <c r="J73" i="9"/>
  <c r="I73" i="9"/>
  <c r="H73" i="9"/>
  <c r="G73" i="9"/>
  <c r="F73" i="9"/>
  <c r="O72" i="9"/>
  <c r="N72" i="9"/>
  <c r="M72" i="9"/>
  <c r="L72" i="9"/>
  <c r="K72" i="9"/>
  <c r="J72" i="9"/>
  <c r="I72" i="9"/>
  <c r="H72" i="9"/>
  <c r="G72" i="9"/>
  <c r="F72" i="9"/>
  <c r="O71" i="9"/>
  <c r="N71" i="9"/>
  <c r="M71" i="9"/>
  <c r="L71" i="9"/>
  <c r="K71" i="9"/>
  <c r="J71" i="9"/>
  <c r="I71" i="9"/>
  <c r="H71" i="9"/>
  <c r="G71" i="9"/>
  <c r="F71" i="9"/>
  <c r="O70" i="9"/>
  <c r="N70" i="9"/>
  <c r="M70" i="9"/>
  <c r="L70" i="9"/>
  <c r="K70" i="9"/>
  <c r="J70" i="9"/>
  <c r="I70" i="9"/>
  <c r="H70" i="9"/>
  <c r="G70" i="9"/>
  <c r="F70" i="9"/>
  <c r="O69" i="9"/>
  <c r="N69" i="9"/>
  <c r="M69" i="9"/>
  <c r="L69" i="9"/>
  <c r="K69" i="9"/>
  <c r="J69" i="9"/>
  <c r="I69" i="9"/>
  <c r="H69" i="9"/>
  <c r="G69" i="9"/>
  <c r="F69" i="9"/>
  <c r="O68" i="9"/>
  <c r="N68" i="9"/>
  <c r="M68" i="9"/>
  <c r="L68" i="9"/>
  <c r="K68" i="9"/>
  <c r="J68" i="9"/>
  <c r="I68" i="9"/>
  <c r="H68" i="9"/>
  <c r="G68" i="9"/>
  <c r="F68" i="9"/>
  <c r="O67" i="9"/>
  <c r="N67" i="9"/>
  <c r="M67" i="9"/>
  <c r="L67" i="9"/>
  <c r="K67" i="9"/>
  <c r="J67" i="9"/>
  <c r="I67" i="9"/>
  <c r="H67" i="9"/>
  <c r="G67" i="9"/>
  <c r="F67" i="9"/>
  <c r="O66" i="9"/>
  <c r="N66" i="9"/>
  <c r="M66" i="9"/>
  <c r="L66" i="9"/>
  <c r="K66" i="9"/>
  <c r="J66" i="9"/>
  <c r="I66" i="9"/>
  <c r="H66" i="9"/>
  <c r="G66" i="9"/>
  <c r="F66" i="9"/>
  <c r="O65" i="9"/>
  <c r="N65" i="9"/>
  <c r="M65" i="9"/>
  <c r="L65" i="9"/>
  <c r="K65" i="9"/>
  <c r="J65" i="9"/>
  <c r="J53" i="9" s="1"/>
  <c r="I65" i="9"/>
  <c r="H65" i="9"/>
  <c r="G65" i="9"/>
  <c r="F65" i="9"/>
  <c r="O64" i="9"/>
  <c r="N64" i="9"/>
  <c r="M64" i="9"/>
  <c r="L64" i="9"/>
  <c r="K64" i="9"/>
  <c r="J64" i="9"/>
  <c r="I64" i="9"/>
  <c r="H64" i="9"/>
  <c r="G64" i="9"/>
  <c r="F64" i="9"/>
  <c r="O63" i="9"/>
  <c r="N63" i="9"/>
  <c r="M63" i="9"/>
  <c r="L63" i="9"/>
  <c r="K63" i="9"/>
  <c r="J63" i="9"/>
  <c r="I63" i="9"/>
  <c r="H63" i="9"/>
  <c r="G63" i="9"/>
  <c r="F63" i="9"/>
  <c r="O62" i="9"/>
  <c r="N62" i="9"/>
  <c r="M62" i="9"/>
  <c r="L62" i="9"/>
  <c r="K62" i="9"/>
  <c r="J62" i="9"/>
  <c r="I62" i="9"/>
  <c r="H62" i="9"/>
  <c r="G62" i="9"/>
  <c r="F62" i="9"/>
  <c r="O61" i="9"/>
  <c r="N61" i="9"/>
  <c r="M61" i="9"/>
  <c r="L61" i="9"/>
  <c r="K61" i="9"/>
  <c r="J61" i="9"/>
  <c r="I61" i="9"/>
  <c r="H61" i="9"/>
  <c r="G61" i="9"/>
  <c r="F61" i="9"/>
  <c r="O60" i="9"/>
  <c r="N60" i="9"/>
  <c r="M60" i="9"/>
  <c r="L60" i="9"/>
  <c r="K60" i="9"/>
  <c r="J60" i="9"/>
  <c r="I60" i="9"/>
  <c r="H60" i="9"/>
  <c r="G60" i="9"/>
  <c r="F60" i="9"/>
  <c r="O59" i="9"/>
  <c r="N59" i="9"/>
  <c r="M59" i="9"/>
  <c r="L59" i="9"/>
  <c r="K59" i="9"/>
  <c r="J59" i="9"/>
  <c r="I59" i="9"/>
  <c r="H59" i="9"/>
  <c r="G59" i="9"/>
  <c r="F59" i="9"/>
  <c r="O58" i="9"/>
  <c r="N58" i="9"/>
  <c r="M58" i="9"/>
  <c r="L58" i="9"/>
  <c r="K58" i="9"/>
  <c r="J58" i="9"/>
  <c r="I58" i="9"/>
  <c r="H58" i="9"/>
  <c r="G58" i="9"/>
  <c r="F58" i="9"/>
  <c r="O57" i="9"/>
  <c r="N57" i="9"/>
  <c r="M57" i="9"/>
  <c r="L57" i="9"/>
  <c r="K57" i="9"/>
  <c r="J57" i="9"/>
  <c r="I57" i="9"/>
  <c r="H57" i="9"/>
  <c r="G57" i="9"/>
  <c r="F57" i="9"/>
  <c r="O56" i="9"/>
  <c r="N56" i="9"/>
  <c r="M56" i="9"/>
  <c r="L56" i="9"/>
  <c r="K56" i="9"/>
  <c r="J56" i="9"/>
  <c r="I56" i="9"/>
  <c r="H56" i="9"/>
  <c r="G56" i="9"/>
  <c r="F56" i="9"/>
  <c r="O55" i="9"/>
  <c r="N55" i="9"/>
  <c r="M55" i="9"/>
  <c r="M53" i="9" s="1"/>
  <c r="L55" i="9"/>
  <c r="K55" i="9"/>
  <c r="J55" i="9"/>
  <c r="I55" i="9"/>
  <c r="H55" i="9"/>
  <c r="G55" i="9"/>
  <c r="F55" i="9"/>
  <c r="O54" i="9"/>
  <c r="O53" i="9" s="1"/>
  <c r="N54" i="9"/>
  <c r="N53" i="9" s="1"/>
  <c r="M54" i="9"/>
  <c r="L54" i="9"/>
  <c r="K54" i="9"/>
  <c r="J54" i="9"/>
  <c r="I54" i="9"/>
  <c r="H54" i="9"/>
  <c r="G54" i="9"/>
  <c r="G53" i="9" s="1"/>
  <c r="F54" i="9"/>
  <c r="F53" i="9" s="1"/>
  <c r="L53" i="9"/>
  <c r="K53" i="9"/>
  <c r="I53" i="9"/>
  <c r="H53" i="9"/>
  <c r="C53" i="9"/>
  <c r="O52" i="9"/>
  <c r="N52" i="9"/>
  <c r="M52" i="9"/>
  <c r="L52" i="9"/>
  <c r="K52" i="9"/>
  <c r="J52" i="9"/>
  <c r="I52" i="9"/>
  <c r="H52" i="9"/>
  <c r="G52" i="9"/>
  <c r="F52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S47" i="9"/>
  <c r="P47" i="9"/>
  <c r="Q47" i="9" s="1"/>
  <c r="S46" i="9"/>
  <c r="P46" i="9"/>
  <c r="S45" i="9"/>
  <c r="P45" i="9"/>
  <c r="S44" i="9"/>
  <c r="P44" i="9"/>
  <c r="S43" i="9"/>
  <c r="P43" i="9"/>
  <c r="S42" i="9"/>
  <c r="P42" i="9"/>
  <c r="S41" i="9"/>
  <c r="P41" i="9"/>
  <c r="S40" i="9"/>
  <c r="P40" i="9"/>
  <c r="S39" i="9"/>
  <c r="P39" i="9"/>
  <c r="S38" i="9"/>
  <c r="P38" i="9"/>
  <c r="S37" i="9"/>
  <c r="P37" i="9"/>
  <c r="S36" i="9"/>
  <c r="P36" i="9"/>
  <c r="S35" i="9"/>
  <c r="P35" i="9"/>
  <c r="S34" i="9"/>
  <c r="P34" i="9"/>
  <c r="S33" i="9"/>
  <c r="P33" i="9"/>
  <c r="S32" i="9"/>
  <c r="P32" i="9"/>
  <c r="S31" i="9"/>
  <c r="P31" i="9"/>
  <c r="S30" i="9"/>
  <c r="P30" i="9"/>
  <c r="S29" i="9"/>
  <c r="P29" i="9"/>
  <c r="S28" i="9"/>
  <c r="P28" i="9"/>
  <c r="S27" i="9"/>
  <c r="P27" i="9"/>
  <c r="S26" i="9"/>
  <c r="P26" i="9"/>
  <c r="P25" i="9"/>
  <c r="Q25" i="9" s="1"/>
  <c r="S25" i="9" s="1"/>
  <c r="P24" i="9"/>
  <c r="Q24" i="9" s="1"/>
  <c r="S24" i="9" s="1"/>
  <c r="S23" i="9"/>
  <c r="P23" i="9"/>
  <c r="S22" i="9"/>
  <c r="Q22" i="9"/>
  <c r="P22" i="9"/>
  <c r="P21" i="9"/>
  <c r="Q21" i="9" s="1"/>
  <c r="S21" i="9" s="1"/>
  <c r="Q20" i="9"/>
  <c r="S20" i="9" s="1"/>
  <c r="P20" i="9"/>
  <c r="P19" i="9"/>
  <c r="Q19" i="9" s="1"/>
  <c r="S19" i="9" s="1"/>
  <c r="S18" i="9"/>
  <c r="Q18" i="9"/>
  <c r="P18" i="9"/>
  <c r="P17" i="9"/>
  <c r="Q17" i="9" s="1"/>
  <c r="S17" i="9" s="1"/>
  <c r="S16" i="9"/>
  <c r="P16" i="9"/>
  <c r="S15" i="9"/>
  <c r="P15" i="9"/>
  <c r="S14" i="9"/>
  <c r="P14" i="9"/>
  <c r="S13" i="9"/>
  <c r="P13" i="9"/>
  <c r="Q12" i="9"/>
  <c r="S12" i="9" s="1"/>
  <c r="P12" i="9"/>
  <c r="Q11" i="9"/>
  <c r="S11" i="9" s="1"/>
  <c r="P11" i="9"/>
  <c r="S10" i="9"/>
  <c r="P10" i="9"/>
  <c r="E10" i="22"/>
  <c r="S9" i="9"/>
  <c r="P9" i="9"/>
  <c r="Q8" i="9"/>
  <c r="S8" i="9" s="1"/>
  <c r="P8" i="9"/>
  <c r="S7" i="9"/>
  <c r="P7" i="9"/>
  <c r="P6" i="9"/>
  <c r="Q6" i="9" s="1"/>
  <c r="S6" i="9" s="1"/>
  <c r="O48" i="8"/>
  <c r="M48" i="8"/>
  <c r="L48" i="8"/>
  <c r="K48" i="8"/>
  <c r="J48" i="8"/>
  <c r="I48" i="8"/>
  <c r="H48" i="8"/>
  <c r="G48" i="8"/>
  <c r="F48" i="8"/>
  <c r="E48" i="8"/>
  <c r="D48" i="8"/>
  <c r="C48" i="8"/>
  <c r="P47" i="8"/>
  <c r="Q47" i="8" s="1"/>
  <c r="P46" i="8"/>
  <c r="Q46" i="8" s="1"/>
  <c r="P45" i="8"/>
  <c r="Q45" i="8" s="1"/>
  <c r="Q44" i="8"/>
  <c r="P44" i="8"/>
  <c r="P43" i="8"/>
  <c r="Q43" i="8" s="1"/>
  <c r="P42" i="8"/>
  <c r="Q42" i="8" s="1"/>
  <c r="P41" i="8"/>
  <c r="Q41" i="8" s="1"/>
  <c r="P40" i="8"/>
  <c r="P39" i="8"/>
  <c r="Q39" i="8" s="1"/>
  <c r="P38" i="8"/>
  <c r="Q38" i="8" s="1"/>
  <c r="Q37" i="8"/>
  <c r="P37" i="8"/>
  <c r="Q36" i="8"/>
  <c r="P36" i="8"/>
  <c r="P35" i="8"/>
  <c r="Q35" i="8" s="1"/>
  <c r="Q34" i="8"/>
  <c r="P34" i="8"/>
  <c r="P33" i="8"/>
  <c r="Q33" i="8" s="1"/>
  <c r="P32" i="8"/>
  <c r="Q32" i="8" s="1"/>
  <c r="Q31" i="8"/>
  <c r="P31" i="8"/>
  <c r="Q30" i="8"/>
  <c r="P30" i="8"/>
  <c r="P29" i="8"/>
  <c r="Q29" i="8" s="1"/>
  <c r="Q28" i="8"/>
  <c r="P28" i="8"/>
  <c r="P27" i="8"/>
  <c r="Q27" i="8" s="1"/>
  <c r="P26" i="8"/>
  <c r="Q26" i="8" s="1"/>
  <c r="Q25" i="8"/>
  <c r="P25" i="8"/>
  <c r="Q24" i="8"/>
  <c r="P24" i="8"/>
  <c r="P23" i="8"/>
  <c r="Q23" i="8" s="1"/>
  <c r="Q22" i="8"/>
  <c r="P22" i="8"/>
  <c r="P21" i="8"/>
  <c r="Q21" i="8" s="1"/>
  <c r="Q20" i="8"/>
  <c r="P20" i="8"/>
  <c r="Q19" i="8"/>
  <c r="P19" i="8"/>
  <c r="Q18" i="8"/>
  <c r="P18" i="8"/>
  <c r="P17" i="8"/>
  <c r="Q17" i="8" s="1"/>
  <c r="Q16" i="8"/>
  <c r="P16" i="8"/>
  <c r="P15" i="8"/>
  <c r="Q15" i="8" s="1"/>
  <c r="P14" i="8"/>
  <c r="Q14" i="8" s="1"/>
  <c r="Q13" i="8"/>
  <c r="P13" i="8"/>
  <c r="Q12" i="8"/>
  <c r="P12" i="8"/>
  <c r="P11" i="8"/>
  <c r="Q11" i="8" s="1"/>
  <c r="E8" i="22"/>
  <c r="B8" i="22"/>
  <c r="Q10" i="8"/>
  <c r="P10" i="8"/>
  <c r="Q9" i="8"/>
  <c r="P9" i="8"/>
  <c r="P8" i="8"/>
  <c r="Q8" i="8" s="1"/>
  <c r="P7" i="8"/>
  <c r="Q7" i="8" s="1"/>
  <c r="Q6" i="8"/>
  <c r="P6" i="8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S47" i="7"/>
  <c r="P47" i="7"/>
  <c r="S46" i="7"/>
  <c r="P46" i="7"/>
  <c r="S45" i="7"/>
  <c r="P45" i="7"/>
  <c r="S44" i="7"/>
  <c r="P44" i="7"/>
  <c r="S43" i="7"/>
  <c r="P43" i="7"/>
  <c r="S42" i="7"/>
  <c r="P42" i="7"/>
  <c r="S41" i="7"/>
  <c r="P41" i="7"/>
  <c r="Q41" i="7" s="1"/>
  <c r="S40" i="7"/>
  <c r="P40" i="7"/>
  <c r="S39" i="7"/>
  <c r="Q39" i="7"/>
  <c r="P39" i="7"/>
  <c r="S38" i="7"/>
  <c r="P38" i="7"/>
  <c r="S37" i="7"/>
  <c r="Q37" i="7"/>
  <c r="P37" i="7"/>
  <c r="S36" i="7"/>
  <c r="P36" i="7"/>
  <c r="S35" i="7"/>
  <c r="P35" i="7"/>
  <c r="Q35" i="7" s="1"/>
  <c r="S34" i="7"/>
  <c r="Q34" i="7"/>
  <c r="P34" i="7"/>
  <c r="S33" i="7"/>
  <c r="P33" i="7"/>
  <c r="Q33" i="7" s="1"/>
  <c r="S32" i="7"/>
  <c r="P32" i="7"/>
  <c r="Q32" i="7" s="1"/>
  <c r="S31" i="7"/>
  <c r="P31" i="7"/>
  <c r="S30" i="7"/>
  <c r="P30" i="7"/>
  <c r="S29" i="7"/>
  <c r="P29" i="7"/>
  <c r="S28" i="7"/>
  <c r="P28" i="7"/>
  <c r="Q28" i="7" s="1"/>
  <c r="S27" i="7"/>
  <c r="P27" i="7"/>
  <c r="Q27" i="7" s="1"/>
  <c r="S26" i="7"/>
  <c r="P26" i="7"/>
  <c r="Q26" i="7" s="1"/>
  <c r="S25" i="7"/>
  <c r="P25" i="7"/>
  <c r="Q25" i="7" s="1"/>
  <c r="S24" i="7"/>
  <c r="P24" i="7"/>
  <c r="Q24" i="7" s="1"/>
  <c r="S23" i="7"/>
  <c r="P23" i="7"/>
  <c r="Q23" i="7" s="1"/>
  <c r="S22" i="7"/>
  <c r="P22" i="7"/>
  <c r="Q22" i="7" s="1"/>
  <c r="S21" i="7"/>
  <c r="Q21" i="7"/>
  <c r="P21" i="7"/>
  <c r="S20" i="7"/>
  <c r="P20" i="7"/>
  <c r="Q20" i="7" s="1"/>
  <c r="S19" i="7"/>
  <c r="P19" i="7"/>
  <c r="S18" i="7"/>
  <c r="P18" i="7"/>
  <c r="S17" i="7"/>
  <c r="P17" i="7"/>
  <c r="S16" i="7"/>
  <c r="P16" i="7"/>
  <c r="S15" i="7"/>
  <c r="P15" i="7"/>
  <c r="S14" i="7"/>
  <c r="P14" i="7"/>
  <c r="S13" i="7"/>
  <c r="P13" i="7"/>
  <c r="S12" i="7"/>
  <c r="Q12" i="7"/>
  <c r="P12" i="7"/>
  <c r="S11" i="7"/>
  <c r="P11" i="7"/>
  <c r="S10" i="7"/>
  <c r="P10" i="7"/>
  <c r="E6" i="22"/>
  <c r="B6" i="22"/>
  <c r="S9" i="7"/>
  <c r="P9" i="7"/>
  <c r="S8" i="7"/>
  <c r="P8" i="7"/>
  <c r="Q8" i="7" s="1"/>
  <c r="S7" i="7"/>
  <c r="P7" i="7"/>
  <c r="S6" i="7"/>
  <c r="P6" i="7"/>
  <c r="S48" i="6"/>
  <c r="O48" i="6"/>
  <c r="N48" i="6"/>
  <c r="M48" i="6"/>
  <c r="L48" i="6"/>
  <c r="K48" i="6"/>
  <c r="J48" i="6"/>
  <c r="I48" i="6"/>
  <c r="H48" i="6"/>
  <c r="G48" i="6"/>
  <c r="F48" i="6"/>
  <c r="E48" i="6"/>
  <c r="D48" i="6"/>
  <c r="C48" i="6"/>
  <c r="S47" i="6"/>
  <c r="P47" i="6"/>
  <c r="Q47" i="6" s="1"/>
  <c r="S46" i="6"/>
  <c r="P46" i="6"/>
  <c r="Q46" i="6" s="1"/>
  <c r="S45" i="6"/>
  <c r="P45" i="6"/>
  <c r="Q45" i="6" s="1"/>
  <c r="S44" i="6"/>
  <c r="P44" i="6"/>
  <c r="Q44" i="6" s="1"/>
  <c r="S43" i="6"/>
  <c r="P43" i="6"/>
  <c r="Q43" i="6" s="1"/>
  <c r="S42" i="6"/>
  <c r="P42" i="6"/>
  <c r="Q42" i="6" s="1"/>
  <c r="S41" i="6"/>
  <c r="P41" i="6"/>
  <c r="Q41" i="6" s="1"/>
  <c r="S40" i="6"/>
  <c r="P40" i="6"/>
  <c r="Q40" i="6" s="1"/>
  <c r="S39" i="6"/>
  <c r="P39" i="6"/>
  <c r="Q39" i="6" s="1"/>
  <c r="S38" i="6"/>
  <c r="P38" i="6"/>
  <c r="Q38" i="6" s="1"/>
  <c r="S37" i="6"/>
  <c r="P37" i="6"/>
  <c r="Q37" i="6" s="1"/>
  <c r="S36" i="6"/>
  <c r="P36" i="6"/>
  <c r="Q36" i="6" s="1"/>
  <c r="S35" i="6"/>
  <c r="P35" i="6"/>
  <c r="Q35" i="6" s="1"/>
  <c r="S34" i="6"/>
  <c r="P34" i="6"/>
  <c r="Q34" i="6" s="1"/>
  <c r="S33" i="6"/>
  <c r="P33" i="6"/>
  <c r="Q33" i="6" s="1"/>
  <c r="S32" i="6"/>
  <c r="P32" i="6"/>
  <c r="Q32" i="6" s="1"/>
  <c r="S31" i="6"/>
  <c r="P31" i="6"/>
  <c r="Q31" i="6" s="1"/>
  <c r="S30" i="6"/>
  <c r="P30" i="6"/>
  <c r="Q30" i="6" s="1"/>
  <c r="S29" i="6"/>
  <c r="P29" i="6"/>
  <c r="Q29" i="6" s="1"/>
  <c r="S28" i="6"/>
  <c r="P28" i="6"/>
  <c r="Q28" i="6" s="1"/>
  <c r="S27" i="6"/>
  <c r="P27" i="6"/>
  <c r="Q27" i="6" s="1"/>
  <c r="S26" i="6"/>
  <c r="P26" i="6"/>
  <c r="Q26" i="6" s="1"/>
  <c r="S25" i="6"/>
  <c r="P25" i="6"/>
  <c r="Q25" i="6" s="1"/>
  <c r="S24" i="6"/>
  <c r="P24" i="6"/>
  <c r="Q24" i="6" s="1"/>
  <c r="S23" i="6"/>
  <c r="P23" i="6"/>
  <c r="Q23" i="6" s="1"/>
  <c r="S22" i="6"/>
  <c r="P22" i="6"/>
  <c r="Q22" i="6" s="1"/>
  <c r="S21" i="6"/>
  <c r="P21" i="6"/>
  <c r="Q21" i="6" s="1"/>
  <c r="S20" i="6"/>
  <c r="P20" i="6"/>
  <c r="Q20" i="6" s="1"/>
  <c r="S19" i="6"/>
  <c r="P19" i="6"/>
  <c r="Q19" i="6" s="1"/>
  <c r="S18" i="6"/>
  <c r="P18" i="6"/>
  <c r="Q18" i="6" s="1"/>
  <c r="S17" i="6"/>
  <c r="P17" i="6"/>
  <c r="Q17" i="6" s="1"/>
  <c r="S16" i="6"/>
  <c r="P16" i="6"/>
  <c r="Q16" i="6" s="1"/>
  <c r="S15" i="6"/>
  <c r="P15" i="6"/>
  <c r="Q15" i="6" s="1"/>
  <c r="S14" i="6"/>
  <c r="P14" i="6"/>
  <c r="Q14" i="6" s="1"/>
  <c r="S13" i="6"/>
  <c r="P13" i="6"/>
  <c r="Q13" i="6" s="1"/>
  <c r="S12" i="6"/>
  <c r="P12" i="6"/>
  <c r="Q12" i="6" s="1"/>
  <c r="S11" i="6"/>
  <c r="P11" i="6"/>
  <c r="Q11" i="6" s="1"/>
  <c r="S10" i="6"/>
  <c r="P10" i="6"/>
  <c r="Q10" i="6" s="1"/>
  <c r="E7" i="22"/>
  <c r="B7" i="22"/>
  <c r="S9" i="6"/>
  <c r="P9" i="6"/>
  <c r="Q9" i="6" s="1"/>
  <c r="S8" i="6"/>
  <c r="P8" i="6"/>
  <c r="Q8" i="6" s="1"/>
  <c r="S7" i="6"/>
  <c r="P7" i="6"/>
  <c r="Q7" i="6" s="1"/>
  <c r="S6" i="6"/>
  <c r="P6" i="6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Q47" i="5"/>
  <c r="P47" i="5"/>
  <c r="P46" i="5"/>
  <c r="Q46" i="5" s="1"/>
  <c r="Q45" i="5"/>
  <c r="P45" i="5"/>
  <c r="P44" i="5"/>
  <c r="Q44" i="5" s="1"/>
  <c r="Q43" i="5"/>
  <c r="P43" i="5"/>
  <c r="Q42" i="5"/>
  <c r="P42" i="5"/>
  <c r="Q41" i="5"/>
  <c r="P41" i="5"/>
  <c r="P40" i="5"/>
  <c r="Q40" i="5" s="1"/>
  <c r="Q39" i="5"/>
  <c r="P39" i="5"/>
  <c r="P38" i="5"/>
  <c r="Q38" i="5" s="1"/>
  <c r="Q37" i="5"/>
  <c r="P37" i="5"/>
  <c r="Q36" i="5"/>
  <c r="P36" i="5"/>
  <c r="Q35" i="5"/>
  <c r="P35" i="5"/>
  <c r="P34" i="5"/>
  <c r="Q34" i="5" s="1"/>
  <c r="Q33" i="5"/>
  <c r="P33" i="5"/>
  <c r="P32" i="5"/>
  <c r="Q32" i="5" s="1"/>
  <c r="P31" i="5"/>
  <c r="Q31" i="5" s="1"/>
  <c r="Q30" i="5"/>
  <c r="P30" i="5"/>
  <c r="Q29" i="5"/>
  <c r="P29" i="5"/>
  <c r="P28" i="5"/>
  <c r="Q28" i="5" s="1"/>
  <c r="Q27" i="5"/>
  <c r="P27" i="5"/>
  <c r="P26" i="5"/>
  <c r="Q26" i="5" s="1"/>
  <c r="P25" i="5"/>
  <c r="Q25" i="5" s="1"/>
  <c r="Q24" i="5"/>
  <c r="P24" i="5"/>
  <c r="Q23" i="5"/>
  <c r="P23" i="5"/>
  <c r="P22" i="5"/>
  <c r="Q22" i="5" s="1"/>
  <c r="Q21" i="5"/>
  <c r="P21" i="5"/>
  <c r="P20" i="5"/>
  <c r="Q20" i="5" s="1"/>
  <c r="Q19" i="5"/>
  <c r="P19" i="5"/>
  <c r="Q18" i="5"/>
  <c r="P18" i="5"/>
  <c r="Q17" i="5"/>
  <c r="P17" i="5"/>
  <c r="P16" i="5"/>
  <c r="Q16" i="5" s="1"/>
  <c r="Q15" i="5"/>
  <c r="P15" i="5"/>
  <c r="P14" i="5"/>
  <c r="Q14" i="5" s="1"/>
  <c r="P13" i="5"/>
  <c r="Q13" i="5" s="1"/>
  <c r="Q12" i="5"/>
  <c r="P12" i="5"/>
  <c r="Q11" i="5"/>
  <c r="P11" i="5"/>
  <c r="P10" i="5"/>
  <c r="Q10" i="5" s="1"/>
  <c r="E5" i="22"/>
  <c r="B5" i="22"/>
  <c r="Q9" i="5"/>
  <c r="P9" i="5"/>
  <c r="Q8" i="5"/>
  <c r="P8" i="5"/>
  <c r="P7" i="5"/>
  <c r="Q7" i="5" s="1"/>
  <c r="P6" i="5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P47" i="4"/>
  <c r="Q47" i="4" s="1"/>
  <c r="P46" i="4"/>
  <c r="Q46" i="4" s="1"/>
  <c r="Q45" i="4"/>
  <c r="P45" i="4"/>
  <c r="P44" i="4"/>
  <c r="Q44" i="4" s="1"/>
  <c r="P43" i="4"/>
  <c r="Q43" i="4" s="1"/>
  <c r="Q42" i="4"/>
  <c r="P42" i="4"/>
  <c r="P41" i="4"/>
  <c r="Q41" i="4" s="1"/>
  <c r="P40" i="4"/>
  <c r="Q40" i="4" s="1"/>
  <c r="P39" i="4"/>
  <c r="Q39" i="4" s="1"/>
  <c r="P38" i="4"/>
  <c r="Q38" i="4" s="1"/>
  <c r="Q37" i="4"/>
  <c r="P37" i="4"/>
  <c r="Q36" i="4"/>
  <c r="P36" i="4"/>
  <c r="P35" i="4"/>
  <c r="Q35" i="4" s="1"/>
  <c r="P34" i="4"/>
  <c r="Q34" i="4" s="1"/>
  <c r="Q33" i="4"/>
  <c r="P33" i="4"/>
  <c r="P32" i="4"/>
  <c r="Q32" i="4" s="1"/>
  <c r="P31" i="4"/>
  <c r="Q31" i="4" s="1"/>
  <c r="Q30" i="4"/>
  <c r="P30" i="4"/>
  <c r="P29" i="4"/>
  <c r="Q29" i="4" s="1"/>
  <c r="P28" i="4"/>
  <c r="Q28" i="4" s="1"/>
  <c r="P27" i="4"/>
  <c r="Q27" i="4" s="1"/>
  <c r="P26" i="4"/>
  <c r="Q26" i="4" s="1"/>
  <c r="Q25" i="4"/>
  <c r="P25" i="4"/>
  <c r="Q24" i="4"/>
  <c r="P24" i="4"/>
  <c r="P23" i="4"/>
  <c r="Q23" i="4" s="1"/>
  <c r="P22" i="4"/>
  <c r="Q22" i="4" s="1"/>
  <c r="Q21" i="4"/>
  <c r="P21" i="4"/>
  <c r="P20" i="4"/>
  <c r="Q20" i="4" s="1"/>
  <c r="P19" i="4"/>
  <c r="Q19" i="4" s="1"/>
  <c r="Q18" i="4"/>
  <c r="P18" i="4"/>
  <c r="P17" i="4"/>
  <c r="Q17" i="4" s="1"/>
  <c r="P16" i="4"/>
  <c r="Q16" i="4" s="1"/>
  <c r="P15" i="4"/>
  <c r="Q15" i="4" s="1"/>
  <c r="P14" i="4"/>
  <c r="Q14" i="4" s="1"/>
  <c r="P13" i="4"/>
  <c r="P48" i="4" s="1"/>
  <c r="Q12" i="4"/>
  <c r="P12" i="4"/>
  <c r="Q11" i="4"/>
  <c r="P11" i="4"/>
  <c r="P10" i="4"/>
  <c r="Q10" i="4" s="1"/>
  <c r="F3" i="22"/>
  <c r="E3" i="22"/>
  <c r="B3" i="22"/>
  <c r="Q9" i="4"/>
  <c r="P9" i="4"/>
  <c r="Q8" i="4"/>
  <c r="P8" i="4"/>
  <c r="P7" i="4"/>
  <c r="Q7" i="4" s="1"/>
  <c r="P6" i="4"/>
  <c r="Q6" i="4" s="1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P47" i="3"/>
  <c r="Q47" i="3" s="1"/>
  <c r="P46" i="3"/>
  <c r="Q46" i="3" s="1"/>
  <c r="P45" i="3"/>
  <c r="Q45" i="3" s="1"/>
  <c r="P44" i="3"/>
  <c r="Q44" i="3" s="1"/>
  <c r="Q43" i="3"/>
  <c r="P43" i="3"/>
  <c r="Q42" i="3"/>
  <c r="P42" i="3"/>
  <c r="P41" i="3"/>
  <c r="Q41" i="3" s="1"/>
  <c r="P40" i="3"/>
  <c r="Q40" i="3" s="1"/>
  <c r="Q39" i="3"/>
  <c r="P39" i="3"/>
  <c r="P38" i="3"/>
  <c r="Q38" i="3" s="1"/>
  <c r="P37" i="3"/>
  <c r="Q37" i="3" s="1"/>
  <c r="Q36" i="3"/>
  <c r="P36" i="3"/>
  <c r="P35" i="3"/>
  <c r="Q35" i="3" s="1"/>
  <c r="P34" i="3"/>
  <c r="Q34" i="3" s="1"/>
  <c r="P33" i="3"/>
  <c r="Q33" i="3" s="1"/>
  <c r="P32" i="3"/>
  <c r="Q32" i="3" s="1"/>
  <c r="Q31" i="3"/>
  <c r="P31" i="3"/>
  <c r="Q30" i="3"/>
  <c r="P30" i="3"/>
  <c r="P29" i="3"/>
  <c r="Q29" i="3" s="1"/>
  <c r="P28" i="3"/>
  <c r="Q28" i="3" s="1"/>
  <c r="Q27" i="3"/>
  <c r="P27" i="3"/>
  <c r="P26" i="3"/>
  <c r="Q26" i="3" s="1"/>
  <c r="P25" i="3"/>
  <c r="Q25" i="3" s="1"/>
  <c r="Q24" i="3"/>
  <c r="P24" i="3"/>
  <c r="P23" i="3"/>
  <c r="Q23" i="3" s="1"/>
  <c r="P22" i="3"/>
  <c r="Q22" i="3" s="1"/>
  <c r="P21" i="3"/>
  <c r="Q21" i="3" s="1"/>
  <c r="P20" i="3"/>
  <c r="Q20" i="3" s="1"/>
  <c r="Q19" i="3"/>
  <c r="P19" i="3"/>
  <c r="Q18" i="3"/>
  <c r="P18" i="3"/>
  <c r="P17" i="3"/>
  <c r="Q17" i="3" s="1"/>
  <c r="P16" i="3"/>
  <c r="Q16" i="3" s="1"/>
  <c r="Q15" i="3"/>
  <c r="P15" i="3"/>
  <c r="P14" i="3"/>
  <c r="Q14" i="3" s="1"/>
  <c r="P13" i="3"/>
  <c r="P48" i="3" s="1"/>
  <c r="Q12" i="3"/>
  <c r="P12" i="3"/>
  <c r="P11" i="3"/>
  <c r="Q11" i="3" s="1"/>
  <c r="P10" i="3"/>
  <c r="Q10" i="3" s="1"/>
  <c r="E4" i="22"/>
  <c r="B4" i="22"/>
  <c r="Q9" i="3"/>
  <c r="P9" i="3"/>
  <c r="P8" i="3"/>
  <c r="Q8" i="3" s="1"/>
  <c r="P7" i="3"/>
  <c r="Q7" i="3" s="1"/>
  <c r="P6" i="3"/>
  <c r="Q6" i="3" s="1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Q47" i="2"/>
  <c r="P47" i="2"/>
  <c r="Q46" i="2"/>
  <c r="P46" i="2"/>
  <c r="P45" i="2"/>
  <c r="Q45" i="2" s="1"/>
  <c r="Q44" i="2"/>
  <c r="P44" i="2"/>
  <c r="P43" i="2"/>
  <c r="Q43" i="2" s="1"/>
  <c r="Q42" i="2"/>
  <c r="P42" i="2"/>
  <c r="Q41" i="2"/>
  <c r="P41" i="2"/>
  <c r="Q40" i="2"/>
  <c r="P40" i="2"/>
  <c r="P39" i="2"/>
  <c r="Q39" i="2" s="1"/>
  <c r="Q38" i="2"/>
  <c r="P38" i="2"/>
  <c r="Q37" i="2"/>
  <c r="P37" i="2"/>
  <c r="P36" i="2"/>
  <c r="Q36" i="2" s="1"/>
  <c r="Q35" i="2"/>
  <c r="P35" i="2"/>
  <c r="Q34" i="2"/>
  <c r="P34" i="2"/>
  <c r="P33" i="2"/>
  <c r="Q33" i="2" s="1"/>
  <c r="Q32" i="2"/>
  <c r="P32" i="2"/>
  <c r="P31" i="2"/>
  <c r="Q31" i="2" s="1"/>
  <c r="Q30" i="2"/>
  <c r="P30" i="2"/>
  <c r="Q29" i="2"/>
  <c r="P29" i="2"/>
  <c r="Q28" i="2"/>
  <c r="P28" i="2"/>
  <c r="P27" i="2"/>
  <c r="Q27" i="2" s="1"/>
  <c r="Q26" i="2"/>
  <c r="P26" i="2"/>
  <c r="P25" i="2"/>
  <c r="Q25" i="2" s="1"/>
  <c r="Q24" i="2"/>
  <c r="P24" i="2"/>
  <c r="Q23" i="2"/>
  <c r="P23" i="2"/>
  <c r="Q22" i="2"/>
  <c r="P22" i="2"/>
  <c r="P21" i="2"/>
  <c r="Q21" i="2" s="1"/>
  <c r="Q20" i="2"/>
  <c r="P20" i="2"/>
  <c r="P19" i="2"/>
  <c r="Q19" i="2" s="1"/>
  <c r="P18" i="2"/>
  <c r="Q18" i="2" s="1"/>
  <c r="Q17" i="2"/>
  <c r="P17" i="2"/>
  <c r="Q16" i="2"/>
  <c r="P16" i="2"/>
  <c r="P15" i="2"/>
  <c r="Q15" i="2" s="1"/>
  <c r="Q14" i="2"/>
  <c r="P14" i="2"/>
  <c r="P13" i="2"/>
  <c r="Q13" i="2" s="1"/>
  <c r="P12" i="2"/>
  <c r="Q12" i="2" s="1"/>
  <c r="Q11" i="2"/>
  <c r="P11" i="2"/>
  <c r="Q10" i="2"/>
  <c r="P10" i="2"/>
  <c r="E2" i="22"/>
  <c r="B2" i="22"/>
  <c r="P9" i="2"/>
  <c r="P48" i="2" s="1"/>
  <c r="Q8" i="2"/>
  <c r="P8" i="2"/>
  <c r="Q7" i="2"/>
  <c r="P7" i="2"/>
  <c r="F11" i="22" l="1"/>
  <c r="F7" i="22"/>
  <c r="F10" i="22"/>
  <c r="G3" i="22"/>
  <c r="F6" i="22"/>
  <c r="Q48" i="2"/>
  <c r="D2" i="22" s="1"/>
  <c r="C2" i="22"/>
  <c r="Q48" i="4"/>
  <c r="D3" i="22" s="1"/>
  <c r="C3" i="22"/>
  <c r="Q48" i="3"/>
  <c r="D4" i="22" s="1"/>
  <c r="C4" i="22"/>
  <c r="P48" i="7"/>
  <c r="Q13" i="3"/>
  <c r="Q9" i="2"/>
  <c r="Q13" i="4"/>
  <c r="P48" i="8"/>
  <c r="P48" i="6"/>
  <c r="Q6" i="6"/>
  <c r="F2" i="22"/>
  <c r="G2" i="22"/>
  <c r="G4" i="22"/>
  <c r="S48" i="9"/>
  <c r="P18" i="15"/>
  <c r="Q18" i="15" s="1"/>
  <c r="B10" i="22"/>
  <c r="P48" i="5"/>
  <c r="Q6" i="5"/>
  <c r="P48" i="9"/>
  <c r="E9" i="22"/>
  <c r="G9" i="22"/>
  <c r="P31" i="15"/>
  <c r="Q31" i="15" s="1"/>
  <c r="B51" i="9"/>
  <c r="D51" i="9" s="1"/>
  <c r="E48" i="15"/>
  <c r="P6" i="15"/>
  <c r="P34" i="15"/>
  <c r="Q34" i="15" s="1"/>
  <c r="P43" i="15"/>
  <c r="Q43" i="15" s="1"/>
  <c r="P25" i="15"/>
  <c r="Q25" i="15" s="1"/>
  <c r="B11" i="22"/>
  <c r="P19" i="15"/>
  <c r="Q19" i="15" s="1"/>
  <c r="P14" i="15"/>
  <c r="P22" i="15"/>
  <c r="Q22" i="15" s="1"/>
  <c r="P30" i="15"/>
  <c r="P24" i="15"/>
  <c r="Q24" i="15" s="1"/>
  <c r="P17" i="15"/>
  <c r="Q17" i="15" s="1"/>
  <c r="P12" i="15"/>
  <c r="Q12" i="15" s="1"/>
  <c r="P33" i="15"/>
  <c r="Q33" i="15" s="1"/>
  <c r="P42" i="15"/>
  <c r="Q42" i="15" s="1"/>
  <c r="P8" i="15"/>
  <c r="Q8" i="15" s="1"/>
  <c r="P10" i="15"/>
  <c r="Q10" i="15" s="1"/>
  <c r="P11" i="15"/>
  <c r="Q11" i="15" s="1"/>
  <c r="P16" i="15"/>
  <c r="Q16" i="15" s="1"/>
  <c r="P21" i="15"/>
  <c r="Q21" i="15" s="1"/>
  <c r="P23" i="15"/>
  <c r="Q23" i="15" s="1"/>
  <c r="P26" i="15"/>
  <c r="Q26" i="15" s="1"/>
  <c r="P32" i="15"/>
  <c r="Q32" i="15" s="1"/>
  <c r="P37" i="15"/>
  <c r="Q37" i="15" s="1"/>
  <c r="P39" i="15"/>
  <c r="Q39" i="15" s="1"/>
  <c r="P45" i="15"/>
  <c r="Q45" i="15" s="1"/>
  <c r="P27" i="15"/>
  <c r="Q27" i="15" s="1"/>
  <c r="G7" i="22" l="1"/>
  <c r="G11" i="22"/>
  <c r="F8" i="22"/>
  <c r="G8" i="22"/>
  <c r="G10" i="22"/>
  <c r="G6" i="22"/>
  <c r="F5" i="22"/>
  <c r="G5" i="22"/>
  <c r="C5" i="22"/>
  <c r="Q48" i="5"/>
  <c r="D5" i="22" s="1"/>
  <c r="C10" i="22"/>
  <c r="Q48" i="9"/>
  <c r="D10" i="22" s="1"/>
  <c r="Q48" i="8"/>
  <c r="D8" i="22" s="1"/>
  <c r="C8" i="22"/>
  <c r="Q48" i="7"/>
  <c r="D6" i="22" s="1"/>
  <c r="C6" i="22"/>
  <c r="P48" i="15"/>
  <c r="Q6" i="15"/>
  <c r="C11" i="22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2" i="9"/>
  <c r="E51" i="9"/>
  <c r="C7" i="22"/>
  <c r="Q48" i="6"/>
  <c r="D7" i="22" s="1"/>
  <c r="Q48" i="15" l="1"/>
  <c r="D9" i="22" s="1"/>
  <c r="C9" i="22"/>
  <c r="D53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2" i="9"/>
  <c r="P52" i="9" s="1"/>
  <c r="D11" i="22"/>
  <c r="E53" i="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<sst xmlns="http://schemas.openxmlformats.org/spreadsheetml/2006/main" count="671" uniqueCount="125">
  <si>
    <t>SEPTEMBER</t>
  </si>
  <si>
    <t>LAPORAN PRODUKSI PADI 2025</t>
  </si>
  <si>
    <t>DINAS PERTANIAN KABUPATEN GARUT</t>
  </si>
  <si>
    <t>NO</t>
  </si>
  <si>
    <t>KECAMATAN</t>
  </si>
  <si>
    <t>Target Produksi Padi Tahun 2025</t>
  </si>
  <si>
    <t>HASIL PRODUKSI</t>
  </si>
  <si>
    <t>TOTAL</t>
  </si>
  <si>
    <t>REALISASI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</si>
  <si>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</si>
  <si>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</si>
  <si>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</si>
  <si>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</si>
  <si>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</si>
  <si>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</si>
  <si>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</si>
  <si>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</si>
  <si>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OKTOBER</t>
  </si>
  <si>
    <t>NOVEMBER</t>
  </si>
  <si>
    <t>DESEMBER</t>
  </si>
  <si>
    <t>Cisewu</t>
  </si>
  <si>
    <t>KOMODITI</t>
  </si>
  <si>
    <t>TARGET PRODUKSI 2025</t>
  </si>
  <si>
    <t>REALISASI 2025</t>
  </si>
  <si>
    <t>PERSENTASE</t>
  </si>
  <si>
    <t>Caringin</t>
  </si>
  <si>
    <t>Talegong</t>
  </si>
  <si>
    <t>Bungbulang</t>
  </si>
  <si>
    <t>Mekar Mukti</t>
  </si>
  <si>
    <t>Pakenjeng</t>
  </si>
  <si>
    <t>Pamulihan</t>
  </si>
  <si>
    <t>Cikelet</t>
  </si>
  <si>
    <t>Pameungpeuk</t>
  </si>
  <si>
    <t>Cibalong</t>
  </si>
  <si>
    <t>Cisompet</t>
  </si>
  <si>
    <t>Singajaya</t>
  </si>
  <si>
    <t>Cihurip</t>
  </si>
  <si>
    <t>Peundeuy</t>
  </si>
  <si>
    <t>Cikajang</t>
  </si>
  <si>
    <t>Banjarwangi</t>
  </si>
  <si>
    <t>Cilawu</t>
  </si>
  <si>
    <t>Bayongbong</t>
  </si>
  <si>
    <t>Cigedug</t>
  </si>
  <si>
    <t>Cisurupan</t>
  </si>
  <si>
    <t>Sukaresmi</t>
  </si>
  <si>
    <t>Samarang</t>
  </si>
  <si>
    <t>Pasir Wangi</t>
  </si>
  <si>
    <t>Tarogong Kaler</t>
  </si>
  <si>
    <t>Tarogong Kidul</t>
  </si>
  <si>
    <t>Garut Kota</t>
  </si>
  <si>
    <t>Karangpawitan</t>
  </si>
  <si>
    <t>Wanaraja</t>
  </si>
  <si>
    <t>Pangatikan</t>
  </si>
  <si>
    <t>Sucinaraja</t>
  </si>
  <si>
    <t>Sukawening</t>
  </si>
  <si>
    <t>Karang Tengah</t>
  </si>
  <si>
    <t>Banyuresmi</t>
  </si>
  <si>
    <t>Leles</t>
  </si>
  <si>
    <t>Leuwigoong</t>
  </si>
  <si>
    <t>Kadungora</t>
  </si>
  <si>
    <t>Cibiuk</t>
  </si>
  <si>
    <t>Cibatu</t>
  </si>
  <si>
    <t>Kersamanah</t>
  </si>
  <si>
    <t>Malangbong</t>
  </si>
  <si>
    <t>Limbangan</t>
  </si>
  <si>
    <t>Selaawi</t>
  </si>
  <si>
    <t>JUMLAH</t>
  </si>
  <si>
    <t>LAPORAN PRODUKSI CABAI 2025</t>
  </si>
  <si>
    <t>Target Produksi Cabai Tahun 2025</t>
  </si>
  <si>
    <t>LAPORAN PRODUKSI JAGUNG 2025</t>
  </si>
  <si>
    <t>Target Produksi  Jagung Tahun 2025</t>
  </si>
  <si>
    <t>LAPORAN PRODUKSI BAWANG MERAH 2025</t>
  </si>
  <si>
    <t>Target Produksi  Bawang Merah Tahun 2025</t>
  </si>
  <si>
    <t>LAPORAN PRODUKSI JAHE 2025</t>
  </si>
  <si>
    <t>Target Produksi Jahe Tahun 2025</t>
  </si>
  <si>
    <t>LAPORAN PRODUKSI KENTANG 2025</t>
  </si>
  <si>
    <t>Target Produksi Kentang Tahun 2025</t>
  </si>
  <si>
    <t>-</t>
  </si>
  <si>
    <t>LAPORAN PRODUKSI JERUK 2025</t>
  </si>
  <si>
    <t>LAPORAN PRODUKSI TEH 2025</t>
  </si>
  <si>
    <t>Target Produksi Teh Tahun 2025</t>
  </si>
  <si>
    <t>LAPORAN PRODUKSI KOPI 2025</t>
  </si>
  <si>
    <t>Target Produksi Kopi Tahun 2025</t>
  </si>
  <si>
    <t>TARGET PRODUKSI DESEMBER 2025</t>
  </si>
  <si>
    <t>REALISASI PRODUKSI DESEMBER 2025</t>
  </si>
  <si>
    <t>Padi</t>
  </si>
  <si>
    <t>Meningkatkan Produksi Padi</t>
  </si>
  <si>
    <t>https://drive.google.com/file/d/16qvqq4kC0CM7KxhEaWpVRedHKCpf1RmG/view?usp=drive_link</t>
  </si>
  <si>
    <t>Jagung</t>
  </si>
  <si>
    <t>Meningkatkan Produksi Jagung</t>
  </si>
  <si>
    <t>https://drive.google.com/file/d/1WMjXaoT1vTwQPciwQSfbH5gf1eUFnA9E/view?usp=drive_link</t>
  </si>
  <si>
    <t>Cabe</t>
  </si>
  <si>
    <t>Meningkatkan Produksi Cabai</t>
  </si>
  <si>
    <t>https://drive.google.com/file/d/1oJoEMB1KamipM6kS4X1vlRkpq4qQfebA/view?usp=drive_link</t>
  </si>
  <si>
    <t>Bawang Merah</t>
  </si>
  <si>
    <t>Meningkatkan Produksi Bawang Merah</t>
  </si>
  <si>
    <t>https://drive.google.com/file/d/1Rv9qVinDkkjchVfD_5N2_RcAui1tLmCH/view?usp=drive_link</t>
  </si>
  <si>
    <t>Kentang</t>
  </si>
  <si>
    <t>Meningkatkan Produksi Kentang</t>
  </si>
  <si>
    <t>https://drive.google.com/file/d/1EDiuQbrjYtseQ624OwqK0VlesBsiwvra/view?usp=drive_link</t>
  </si>
  <si>
    <t>Jahe</t>
  </si>
  <si>
    <t>Meningkatkan Produksi Jahe</t>
  </si>
  <si>
    <t>https://drive.google.com/file/d/1OAayQcEI8fgMpkEyc-cMhNmVFKsGVdYG/view?usp=drive_link</t>
  </si>
  <si>
    <t>Jeruk</t>
  </si>
  <si>
    <t>Meningkatkan Produksi Jeruk</t>
  </si>
  <si>
    <t>https://drive.google.com/file/d/1GIudTyy0Rt0MUCgP81bhbD8UX6NN6FHN/view?usp=drive_link</t>
  </si>
  <si>
    <t>Kopi</t>
  </si>
  <si>
    <t>Meningkatkan Produksi Kopi</t>
  </si>
  <si>
    <t>https://drive.google.com/file/d/12V1vYzRvGPA3WiowUFbJrSP0sIAidnjh/view?usp=drive_link</t>
  </si>
  <si>
    <t>Teh</t>
  </si>
  <si>
    <t>Meningkatkan Produksi Teh</t>
  </si>
  <si>
    <t>https://drive.google.com/file/d/1EQ8krRNB4C09H5dHRCVMfhsi2oKhl_co/view?usp=drive_link</t>
  </si>
  <si>
    <t>Tembakau</t>
  </si>
  <si>
    <t>Meningkatkan Produksi Tembakau</t>
  </si>
  <si>
    <t>https://drive.google.com/file/d/1Kr4Hts8G2bWEjBpX2duGEFyf_tfMXDyg/view?usp=drive_link</t>
  </si>
  <si>
    <t>Jumlah Produksi Padi tahun 2025 sebanyak 707237 ton telah tercapai sampai dengan Desember 2025 sebanyak 701430 Ton atau 0,991789173926138 Telah disajikan dukungan Bidang-Bidang terhadap pencapaian target produksi pada 10 (sepuluh) komoditas utama Dinas Pertanian dengan menyajikan upaya-upaya yang telah dilakukan disertai dengan dokumentasi berupa foto. Pencapaian target 2025 "DIATAS EKSPEKTASI";</t>
  </si>
  <si>
    <t>Jumlah Produksi Padi tahun 2025 sebanyak 521662 ton telah tercapai sampai dengan Desember 2025 sebanyak 437500 Ton atau 0,83866564940517 Telah disajikan dukungan Bidang-Bidang terhadap pencapaian target produksi pada 10 (sepuluh) komoditas utama Dinas Pertanian dengan menyajikan upaya-upaya yang telah dilakukan disertai dengan dokumentasi berupa foto. Pencapaian target 2025 "DIATAS EKSPEKTASI";</t>
  </si>
  <si>
    <t>Jumlah Produksi Padi tahun 2025 sebanyak 158958 ton telah tercapai sampai dengan Desember 2025 sebanyak 160286 Ton atau 1,00835440808264 Telah disajikan dukungan Bidang-Bidang terhadap pencapaian target produksi pada 10 (sepuluh) komoditas utama Dinas Pertanian dengan menyajikan upaya-upaya yang telah dilakukan disertai dengan dokumentasi berupa foto. Pencapaian target 2025 "DIATAS EKSPEKTASI";</t>
  </si>
  <si>
    <t>Jumlah Produksi Padi tahun 2025 sebanyak 30638 ton telah tercapai sampai dengan Desember 2025 sebanyak 36558 Ton atau 1,19322410078987 Telah disajikan dukungan Bidang-Bidang terhadap pencapaian target produksi pada 10 (sepuluh) komoditas utama Dinas Pertanian dengan menyajikan upaya-upaya yang telah dilakukan disertai dengan dokumentasi berupa foto. Pencapaian target 2025 "DIATAS EKSPEKTASI";</t>
  </si>
  <si>
    <t>Jumlah Produksi Padi tahun 2025 sebanyak 190727 ton telah tercapai sampai dengan Desember 2025 sebanyak 157607,3 Ton atau 0,826350228336837 Telah disajikan dukungan Bidang-Bidang terhadap pencapaian target produksi pada 10 (sepuluh) komoditas utama Dinas Pertanian dengan menyajikan upaya-upaya yang telah dilakukan disertai dengan dokumentasi berupa foto. Pencapaian target 2025 "DIATAS EKSPEKTASI";</t>
  </si>
  <si>
    <t>Jumlah Produksi Padi tahun 2025 sebanyak 7410 ton telah tercapai sampai dengan Desember 2025 sebanyak 12037,09 Ton atau 1,62443859649123 Telah disajikan dukungan Bidang-Bidang terhadap pencapaian target produksi pada 10 (sepuluh) komoditas utama Dinas Pertanian dengan menyajikan upaya-upaya yang telah dilakukan disertai dengan dokumentasi berupa foto. Pencapaian target 2025 "DIATAS EKSPEKTASI";</t>
  </si>
  <si>
    <t>Jumlah Produksi Padi tahun 2025 sebanyak 13742 ton telah tercapai sampai dengan Desember 2025 sebanyak 7699 Ton atau 0,560253238247708 Telah disajikan dukungan Bidang-Bidang terhadap pencapaian target produksi pada 10 (sepuluh) komoditas utama Dinas Pertanian dengan menyajikan upaya-upaya yang telah dilakukan disertai dengan dokumentasi berupa foto. Pencapaian target 2025 "DIATAS EKSPEKTASI";</t>
  </si>
  <si>
    <t>Jumlah Produksi Padi tahun 2025 sebanyak 2866 ton telah tercapai sampai dengan Desember 2025 sebanyak 3466,12346 Ton atau 1,2093940893231 Telah disajikan dukungan Bidang-Bidang terhadap pencapaian target produksi pada 10 (sepuluh) komoditas utama Dinas Pertanian dengan menyajikan upaya-upaya yang telah dilakukan disertai dengan dokumentasi berupa foto. Pencapaian target 2025 "DIATAS EKSPEKTASI";</t>
  </si>
  <si>
    <t>Jumlah Produksi Padi tahun 2025 sebanyak 3274 ton telah tercapai sampai dengan Desember 2025 sebanyak 2602,7259 Ton atau 0,794968204031765 Telah disajikan dukungan Bidang-Bidang terhadap pencapaian target produksi pada 10 (sepuluh) komoditas utama Dinas Pertanian dengan menyajikan upaya-upaya yang telah dilakukan disertai dengan dokumentasi berupa foto. Pencapaian target 2025 "DIATAS EKSPEKTASI";</t>
  </si>
  <si>
    <t>Jumlah Produksi Padi tahun 2025 sebanyak 3180 ton telah tercapai sampai dengan Desember 2025 sebanyak 3272,5479128 Ton atau 1,0291031172327 Telah disajikan dukungan Bidang-Bidang terhadap pencapaian target produksi pada 10 (sepuluh) komoditas utama Dinas Pertanian dengan menyajikan upaya-upaya yang telah dilakukan disertai dengan dokumentasi berupa foto. Pencapaian target 2025 "DIATAS EKSPEKTASI";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</si>
</sst>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#,##0\ &quot;ton&quot;"/>
    <numFmt numFmtId="165" formatCode="_-* #,##0_-&quot;Ton&quot;;[Red]\-* #,##0_-;_-* &quot;-&quot;_-;_-@_-"/>
    <numFmt numFmtId="166" formatCode="_-* #,##0_-;\-* #,##0_-;_-* &quot;-&quot;_-;_-@"/>
    <numFmt numFmtId="167" formatCode="_-* #,##0_-&quot;Ton&quot;;\-* #,##0_-;_-* &quot;-&quot;_-;_-@"/>
    <numFmt numFmtId="168" formatCode="_-* #,##0_-;[Red]\-* #,##0_-;_-* &quot;-&quot;_-;_-@_-"/>
    <numFmt numFmtId="169" formatCode="_-* #,##0_-&quot;Ton&quot;;[Red]\-* #,##0_-&quot;Ton&quot;;_-* &quot;-&quot;_-;_-@_-"/>
    <numFmt numFmtId="170" formatCode="_-* #,##0_-\ &quot;Ton&quot;;\-* #,##0_-;_-* &quot;-&quot;_-;_-@"/>
    <numFmt numFmtId="171" formatCode="_-* #,##0.00_-&quot;Ton&quot;;\-* #,##0.00_-;_-* &quot;-&quot;_-;_-@"/>
    <numFmt numFmtId="172" formatCode="_-* #,##0.00_-\ &quot;Ton&quot;;[Red]\-* #,##0.00_-;_-* &quot;-&quot;_-;_-@_-"/>
    <numFmt numFmtId="173" formatCode="_-* #,##0.0_-&quot;Ton&quot;;[Red]\-* #,##0.0_-;_-* &quot;-&quot;_-;_-@_-"/>
    <numFmt numFmtId="174" formatCode="_-* #,##0.00_-&quot;Ton&quot;;[Red]\-* #,##0.00_-;_-* &quot;-&quot;_-;_-@_-"/>
    <numFmt numFmtId="175" formatCode="_-* #,##0.0_-&quot;Ton&quot;;\-* #,##0.0_-;_-* &quot;-&quot;_-;_-@"/>
    <numFmt numFmtId="176" formatCode="_-* #,##0.00_-&quot;Ton&quot;;[Red]\-* #,##0.00_-&quot;Ton&quot;;_-* &quot;-&quot;_-;_-@_-"/>
    <numFmt numFmtId="177" formatCode="\ _-* #,##0.00_-&quot;Ton&quot;;[Red]&quot;Lebih&quot;* \ #,##0.00_-;_-* &quot;-&quot;_-;_-@_-"/>
    <numFmt numFmtId="178" formatCode="_-* #,##0.00_-&quot; Ton&quot;;[Red]\-* #,##0.00_-;_-* &quot;-&quot;_-;_-@_-"/>
  </numFmts>
  <fonts count="1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4"/>
      <color theme="1"/>
      <name val="Tahoma"/>
    </font>
    <font>
      <sz val="11"/>
      <color theme="1"/>
      <name val="Calibri"/>
    </font>
    <font>
      <b/>
      <sz val="10"/>
      <color theme="1"/>
      <name val="Tahoma"/>
    </font>
    <font>
      <b/>
      <sz val="11"/>
      <color theme="1"/>
      <name val="Tahoma"/>
    </font>
    <font>
      <sz val="11"/>
      <name val="Calibri"/>
    </font>
    <font>
      <sz val="10"/>
      <color theme="1"/>
      <name val="Calibri"/>
    </font>
    <font>
      <sz val="10"/>
      <color theme="1"/>
      <name val="Tahoma"/>
    </font>
    <font>
      <sz val="11"/>
      <color theme="1"/>
      <name val="Tahoma"/>
    </font>
    <font>
      <sz val="11"/>
      <color rgb="FF000000"/>
      <name val="Tahoma"/>
    </font>
    <font>
      <u/>
      <sz val="11"/>
      <color rgb="FF0000FF"/>
      <name val="Calibri"/>
    </font>
    <font>
      <u/>
      <sz val="11"/>
      <color rgb="FF0000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9DAF8"/>
        <bgColor rgb="FFC9DAF8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EAD1DC"/>
        <bgColor rgb="FFEAD1DC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7" fillId="0" borderId="0" xfId="0" applyFont="1"/>
    <xf numFmtId="0" fontId="8" fillId="0" borderId="7" xfId="0" applyFont="1" applyBorder="1" applyAlignment="1">
      <alignment horizontal="center"/>
    </xf>
    <xf numFmtId="0" fontId="8" fillId="0" borderId="7" xfId="0" applyFont="1" applyBorder="1"/>
    <xf numFmtId="164" fontId="8" fillId="0" borderId="7" xfId="0" applyNumberFormat="1" applyFont="1" applyBorder="1"/>
    <xf numFmtId="165" fontId="8" fillId="0" borderId="7" xfId="0" applyNumberFormat="1" applyFont="1" applyBorder="1"/>
    <xf numFmtId="10" fontId="8" fillId="0" borderId="7" xfId="0" applyNumberFormat="1" applyFont="1" applyBorder="1" applyAlignment="1">
      <alignment horizontal="center" vertical="center"/>
    </xf>
    <xf numFmtId="166" fontId="3" fillId="0" borderId="0" xfId="0" applyNumberFormat="1" applyFont="1"/>
    <xf numFmtId="164" fontId="3" fillId="0" borderId="0" xfId="0" applyNumberFormat="1" applyFont="1"/>
    <xf numFmtId="0" fontId="8" fillId="0" borderId="8" xfId="0" applyFont="1" applyBorder="1" applyAlignment="1">
      <alignment horizontal="center"/>
    </xf>
    <xf numFmtId="0" fontId="8" fillId="0" borderId="8" xfId="0" applyFont="1" applyBorder="1"/>
    <xf numFmtId="164" fontId="8" fillId="0" borderId="8" xfId="0" applyNumberFormat="1" applyFont="1" applyBorder="1"/>
    <xf numFmtId="165" fontId="8" fillId="0" borderId="8" xfId="0" applyNumberFormat="1" applyFont="1" applyBorder="1"/>
    <xf numFmtId="10" fontId="8" fillId="0" borderId="8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/>
    </xf>
    <xf numFmtId="0" fontId="8" fillId="0" borderId="10" xfId="0" applyFont="1" applyBorder="1"/>
    <xf numFmtId="164" fontId="8" fillId="0" borderId="10" xfId="0" applyNumberFormat="1" applyFont="1" applyBorder="1"/>
    <xf numFmtId="165" fontId="8" fillId="0" borderId="10" xfId="0" applyNumberFormat="1" applyFont="1" applyBorder="1"/>
    <xf numFmtId="10" fontId="8" fillId="0" borderId="10" xfId="0" applyNumberFormat="1" applyFont="1" applyBorder="1" applyAlignment="1">
      <alignment horizontal="center" vertical="center"/>
    </xf>
    <xf numFmtId="164" fontId="8" fillId="5" borderId="6" xfId="0" applyNumberFormat="1" applyFont="1" applyFill="1" applyBorder="1" applyAlignment="1">
      <alignment horizontal="center"/>
    </xf>
    <xf numFmtId="164" fontId="8" fillId="5" borderId="6" xfId="0" applyNumberFormat="1" applyFont="1" applyFill="1" applyBorder="1"/>
    <xf numFmtId="10" fontId="8" fillId="5" borderId="6" xfId="0" applyNumberFormat="1" applyFont="1" applyFill="1" applyBorder="1" applyAlignment="1">
      <alignment horizontal="center" vertical="center"/>
    </xf>
    <xf numFmtId="167" fontId="8" fillId="0" borderId="7" xfId="0" applyNumberFormat="1" applyFont="1" applyBorder="1"/>
    <xf numFmtId="167" fontId="3" fillId="0" borderId="0" xfId="0" applyNumberFormat="1" applyFont="1"/>
    <xf numFmtId="167" fontId="8" fillId="0" borderId="8" xfId="0" applyNumberFormat="1" applyFont="1" applyBorder="1"/>
    <xf numFmtId="167" fontId="8" fillId="0" borderId="10" xfId="0" applyNumberFormat="1" applyFont="1" applyBorder="1"/>
    <xf numFmtId="164" fontId="8" fillId="5" borderId="6" xfId="0" applyNumberFormat="1" applyFont="1" applyFill="1" applyBorder="1" applyAlignment="1">
      <alignment horizontal="right"/>
    </xf>
    <xf numFmtId="168" fontId="1" fillId="0" borderId="0" xfId="0" applyNumberFormat="1" applyFont="1"/>
    <xf numFmtId="169" fontId="8" fillId="0" borderId="7" xfId="0" applyNumberFormat="1" applyFont="1" applyBorder="1"/>
    <xf numFmtId="169" fontId="1" fillId="0" borderId="0" xfId="0" applyNumberFormat="1" applyFont="1"/>
    <xf numFmtId="169" fontId="8" fillId="0" borderId="8" xfId="0" applyNumberFormat="1" applyFont="1" applyBorder="1"/>
    <xf numFmtId="169" fontId="8" fillId="0" borderId="10" xfId="0" applyNumberFormat="1" applyFont="1" applyBorder="1"/>
    <xf numFmtId="169" fontId="8" fillId="5" borderId="6" xfId="0" applyNumberFormat="1" applyFont="1" applyFill="1" applyBorder="1" applyAlignment="1">
      <alignment horizontal="right"/>
    </xf>
    <xf numFmtId="170" fontId="8" fillId="0" borderId="7" xfId="0" applyNumberFormat="1" applyFont="1" applyBorder="1"/>
    <xf numFmtId="9" fontId="8" fillId="0" borderId="7" xfId="0" applyNumberFormat="1" applyFont="1" applyBorder="1" applyAlignment="1">
      <alignment horizontal="center" vertical="center"/>
    </xf>
    <xf numFmtId="170" fontId="8" fillId="0" borderId="8" xfId="0" applyNumberFormat="1" applyFont="1" applyBorder="1"/>
    <xf numFmtId="9" fontId="8" fillId="0" borderId="8" xfId="0" applyNumberFormat="1" applyFont="1" applyBorder="1" applyAlignment="1">
      <alignment horizontal="center" vertical="center"/>
    </xf>
    <xf numFmtId="170" fontId="8" fillId="0" borderId="10" xfId="0" applyNumberFormat="1" applyFont="1" applyBorder="1"/>
    <xf numFmtId="9" fontId="8" fillId="0" borderId="10" xfId="0" applyNumberFormat="1" applyFont="1" applyBorder="1" applyAlignment="1">
      <alignment horizontal="center" vertical="center"/>
    </xf>
    <xf numFmtId="9" fontId="8" fillId="5" borderId="6" xfId="0" applyNumberFormat="1" applyFont="1" applyFill="1" applyBorder="1" applyAlignment="1">
      <alignment horizontal="center" vertical="center"/>
    </xf>
    <xf numFmtId="167" fontId="8" fillId="0" borderId="11" xfId="0" applyNumberFormat="1" applyFont="1" applyBorder="1"/>
    <xf numFmtId="0" fontId="8" fillId="0" borderId="11" xfId="0" applyFont="1" applyBorder="1"/>
    <xf numFmtId="167" fontId="8" fillId="0" borderId="12" xfId="0" applyNumberFormat="1" applyFont="1" applyBorder="1"/>
    <xf numFmtId="0" fontId="8" fillId="0" borderId="12" xfId="0" applyFont="1" applyBorder="1"/>
    <xf numFmtId="167" fontId="8" fillId="5" borderId="6" xfId="0" applyNumberFormat="1" applyFont="1" applyFill="1" applyBorder="1" applyAlignment="1">
      <alignment horizontal="center"/>
    </xf>
    <xf numFmtId="167" fontId="8" fillId="5" borderId="6" xfId="0" applyNumberFormat="1" applyFont="1" applyFill="1" applyBorder="1"/>
    <xf numFmtId="167" fontId="8" fillId="0" borderId="0" xfId="0" applyNumberFormat="1" applyFont="1"/>
    <xf numFmtId="171" fontId="8" fillId="0" borderId="7" xfId="0" applyNumberFormat="1" applyFont="1" applyBorder="1"/>
    <xf numFmtId="171" fontId="8" fillId="0" borderId="8" xfId="0" applyNumberFormat="1" applyFont="1" applyBorder="1"/>
    <xf numFmtId="171" fontId="8" fillId="0" borderId="10" xfId="0" applyNumberFormat="1" applyFont="1" applyBorder="1"/>
    <xf numFmtId="172" fontId="8" fillId="0" borderId="7" xfId="0" applyNumberFormat="1" applyFont="1" applyBorder="1"/>
    <xf numFmtId="173" fontId="8" fillId="0" borderId="7" xfId="0" applyNumberFormat="1" applyFont="1" applyBorder="1"/>
    <xf numFmtId="174" fontId="8" fillId="0" borderId="7" xfId="0" applyNumberFormat="1" applyFont="1" applyBorder="1"/>
    <xf numFmtId="175" fontId="3" fillId="0" borderId="0" xfId="0" applyNumberFormat="1" applyFont="1"/>
    <xf numFmtId="172" fontId="8" fillId="0" borderId="8" xfId="0" applyNumberFormat="1" applyFont="1" applyBorder="1"/>
    <xf numFmtId="173" fontId="8" fillId="0" borderId="8" xfId="0" applyNumberFormat="1" applyFont="1" applyBorder="1"/>
    <xf numFmtId="174" fontId="8" fillId="0" borderId="8" xfId="0" applyNumberFormat="1" applyFont="1" applyBorder="1"/>
    <xf numFmtId="167" fontId="8" fillId="5" borderId="10" xfId="0" applyNumberFormat="1" applyFont="1" applyFill="1" applyBorder="1" applyAlignment="1">
      <alignment horizontal="center"/>
    </xf>
    <xf numFmtId="171" fontId="8" fillId="5" borderId="10" xfId="0" applyNumberFormat="1" applyFont="1" applyFill="1" applyBorder="1"/>
    <xf numFmtId="172" fontId="8" fillId="5" borderId="10" xfId="0" applyNumberFormat="1" applyFont="1" applyFill="1" applyBorder="1"/>
    <xf numFmtId="167" fontId="8" fillId="5" borderId="10" xfId="0" applyNumberFormat="1" applyFont="1" applyFill="1" applyBorder="1"/>
    <xf numFmtId="9" fontId="8" fillId="5" borderId="10" xfId="0" applyNumberFormat="1" applyFont="1" applyFill="1" applyBorder="1" applyAlignment="1">
      <alignment horizontal="center" vertical="center"/>
    </xf>
    <xf numFmtId="4" fontId="10" fillId="0" borderId="0" xfId="0" applyNumberFormat="1" applyFont="1"/>
    <xf numFmtId="0" fontId="1" fillId="6" borderId="0" xfId="0" applyFont="1" applyFill="1"/>
    <xf numFmtId="4" fontId="1" fillId="0" borderId="0" xfId="0" applyNumberFormat="1" applyFont="1"/>
    <xf numFmtId="176" fontId="8" fillId="0" borderId="7" xfId="0" applyNumberFormat="1" applyFont="1" applyBorder="1"/>
    <xf numFmtId="177" fontId="8" fillId="0" borderId="7" xfId="0" applyNumberFormat="1" applyFont="1" applyBorder="1"/>
    <xf numFmtId="178" fontId="8" fillId="0" borderId="7" xfId="0" applyNumberFormat="1" applyFont="1" applyBorder="1"/>
    <xf numFmtId="176" fontId="8" fillId="0" borderId="8" xfId="0" applyNumberFormat="1" applyFont="1" applyBorder="1"/>
    <xf numFmtId="177" fontId="8" fillId="0" borderId="8" xfId="0" applyNumberFormat="1" applyFont="1" applyBorder="1"/>
    <xf numFmtId="178" fontId="8" fillId="0" borderId="8" xfId="0" applyNumberFormat="1" applyFont="1" applyBorder="1"/>
    <xf numFmtId="169" fontId="8" fillId="5" borderId="10" xfId="0" applyNumberFormat="1" applyFont="1" applyFill="1" applyBorder="1" applyAlignment="1">
      <alignment horizontal="center"/>
    </xf>
    <xf numFmtId="176" fontId="8" fillId="5" borderId="10" xfId="0" applyNumberFormat="1" applyFont="1" applyFill="1" applyBorder="1"/>
    <xf numFmtId="169" fontId="8" fillId="5" borderId="10" xfId="0" applyNumberFormat="1" applyFont="1" applyFill="1" applyBorder="1"/>
    <xf numFmtId="10" fontId="3" fillId="0" borderId="0" xfId="0" applyNumberFormat="1" applyFont="1"/>
    <xf numFmtId="168" fontId="3" fillId="0" borderId="0" xfId="0" applyNumberFormat="1" applyFont="1"/>
    <xf numFmtId="0" fontId="11" fillId="0" borderId="0" xfId="0" applyFont="1"/>
    <xf numFmtId="0" fontId="12" fillId="0" borderId="0" xfId="0" applyFont="1"/>
    <xf numFmtId="10" fontId="9" fillId="0" borderId="1" xfId="0" applyNumberFormat="1" applyFont="1" applyBorder="1" applyAlignment="1">
      <alignment horizontal="center" vertical="center"/>
    </xf>
    <xf numFmtId="0" fontId="6" fillId="0" borderId="5" xfId="0" applyFont="1" applyBorder="1"/>
    <xf numFmtId="164" fontId="9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6" fillId="0" borderId="9" xfId="0" applyFont="1" applyBorder="1"/>
    <xf numFmtId="0" fontId="8" fillId="5" borderId="2" xfId="0" applyFont="1" applyFill="1" applyBorder="1" applyAlignment="1">
      <alignment horizontal="center"/>
    </xf>
    <xf numFmtId="0" fontId="6" fillId="0" borderId="4" xfId="0" applyFont="1" applyBorder="1"/>
    <xf numFmtId="0" fontId="4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/>
    </xf>
    <xf numFmtId="0" fontId="6" fillId="0" borderId="14" xfId="0" applyFont="1" applyBorder="1"/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TARGET TRIWULAN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2V1vYzRvGPA3WiowUFbJrSP0sIAidnjh/view?usp=drive_link" TargetMode="External"/><Relationship Id="rId3" Type="http://schemas.openxmlformats.org/officeDocument/2006/relationships/hyperlink" Target="https://drive.google.com/file/d/1oJoEMB1KamipM6kS4X1vlRkpq4qQfebA/view?usp=drive_link" TargetMode="External"/><Relationship Id="rId7" Type="http://schemas.openxmlformats.org/officeDocument/2006/relationships/hyperlink" Target="https://drive.google.com/file/d/1GIudTyy0Rt0MUCgP81bhbD8UX6NN6FHN/view?usp=drive_link" TargetMode="External"/><Relationship Id="rId2" Type="http://schemas.openxmlformats.org/officeDocument/2006/relationships/hyperlink" Target="https://drive.google.com/file/d/1WMjXaoT1vTwQPciwQSfbH5gf1eUFnA9E/view?usp=drive_link" TargetMode="External"/><Relationship Id="rId1" Type="http://schemas.openxmlformats.org/officeDocument/2006/relationships/hyperlink" Target="https://drive.google.com/file/d/16qvqq4kC0CM7KxhEaWpVRedHKCpf1RmG/view?usp=drive_link" TargetMode="External"/><Relationship Id="rId6" Type="http://schemas.openxmlformats.org/officeDocument/2006/relationships/hyperlink" Target="https://drive.google.com/file/d/1OAayQcEI8fgMpkEyc-cMhNmVFKsGVdYG/view?usp=drive_link" TargetMode="External"/><Relationship Id="rId5" Type="http://schemas.openxmlformats.org/officeDocument/2006/relationships/hyperlink" Target="https://drive.google.com/file/d/1EDiuQbrjYtseQ624OwqK0VlesBsiwvra/view?usp=drive_link" TargetMode="External"/><Relationship Id="rId10" Type="http://schemas.openxmlformats.org/officeDocument/2006/relationships/hyperlink" Target="https://drive.google.com/file/d/1Kr4Hts8G2bWEjBpX2duGEFyf_tfMXDyg/view?usp=drive_link" TargetMode="External"/><Relationship Id="rId4" Type="http://schemas.openxmlformats.org/officeDocument/2006/relationships/hyperlink" Target="https://drive.google.com/file/d/1Rv9qVinDkkjchVfD_5N2_RcAui1tLmCH/view?usp=drive_link" TargetMode="External"/><Relationship Id="rId9" Type="http://schemas.openxmlformats.org/officeDocument/2006/relationships/hyperlink" Target="https://drive.google.com/file/d/1EQ8krRNB4C09H5dHRCVMfhsi2oKhl_co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  <pageSetUpPr fitToPage="1"/>
  </sheetPr>
  <dimension ref="A1:AA1000"/>
  <sheetViews>
    <sheetView tabSelected="1" zoomScale="126" workbookViewId="0">
      <selection activeCell="N11" sqref="N11"/>
    </sheetView>
  </sheetViews>
  <sheetFormatPr defaultColWidth="14.42578125" defaultRowHeight="15" customHeight="1" x14ac:dyDescent="0.25"/>
  <cols>
    <col min="1" max="1" width="4.140625" customWidth="1"/>
    <col min="2" max="3" width="15.85546875" customWidth="1"/>
    <col min="4" max="11" width="12" customWidth="1"/>
    <col min="12" max="12" width="13.5703125" customWidth="1"/>
    <col min="13" max="15" width="12" customWidth="1"/>
    <col min="16" max="16" width="11.5703125" customWidth="1"/>
    <col min="17" max="17" width="12.28515625" customWidth="1"/>
    <col min="18" max="19" width="8.7109375" customWidth="1"/>
    <col min="20" max="20" width="9.85546875" customWidth="1"/>
    <col min="21" max="27" width="18.42578125" customWidth="1"/>
  </cols>
  <sheetData>
    <row r="1" spans="1:27" ht="22.5" customHeight="1" x14ac:dyDescent="0.25">
      <c r="A1" s="92" t="s">
        <v>1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</row>
    <row r="2" spans="1:27" ht="24.75" customHeight="1" x14ac:dyDescent="0.25">
      <c r="A2" s="92" t="s">
        <v>2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</row>
    <row r="3" spans="1:27" ht="14.2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27" ht="14.25" customHeight="1" x14ac:dyDescent="0.25">
      <c r="A4" s="85" t="s">
        <v>3</v>
      </c>
      <c r="B4" s="85" t="s">
        <v>4</v>
      </c>
      <c r="C4" s="94" t="s">
        <v>5</v>
      </c>
      <c r="D4" s="95" t="s">
        <v>6</v>
      </c>
      <c r="E4" s="96"/>
      <c r="F4" s="96"/>
      <c r="G4" s="96"/>
      <c r="H4" s="96"/>
      <c r="I4" s="96"/>
      <c r="J4" s="96"/>
      <c r="K4" s="96"/>
      <c r="L4" s="96"/>
      <c r="M4" s="96"/>
      <c r="N4" s="96"/>
      <c r="O4" s="89"/>
      <c r="P4" s="94" t="s">
        <v>7</v>
      </c>
      <c r="Q4" s="85" t="s">
        <v>8</v>
      </c>
    </row>
    <row r="5" spans="1:27" ht="24" customHeight="1" x14ac:dyDescent="0.25">
      <c r="A5" s="83"/>
      <c r="B5" s="83"/>
      <c r="C5" s="83"/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4" t="s">
        <v>14</v>
      </c>
      <c r="J5" s="3" t="s">
        <v>15</v>
      </c>
      <c r="K5" s="3" t="s">
        <v>16</v>
      </c>
      <c r="L5" s="3" t="s">
        <v>0</v>
      </c>
      <c r="M5" s="3" t="s">
        <v>17</v>
      </c>
      <c r="N5" s="3" t="s">
        <v>18</v>
      </c>
      <c r="O5" s="3" t="s">
        <v>19</v>
      </c>
      <c r="P5" s="83"/>
      <c r="Q5" s="83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4.25" customHeight="1" x14ac:dyDescent="0.25">
      <c r="A6" s="6">
        <v>1</v>
      </c>
      <c r="B6" s="7" t="s">
        <v>20</v>
      </c>
      <c r="C6" s="8">
        <v>30619</v>
      </c>
      <c r="D6" s="8">
        <v>2475</v>
      </c>
      <c r="E6" s="8">
        <v>3850</v>
      </c>
      <c r="F6" s="8">
        <v>4584</v>
      </c>
      <c r="G6" s="8">
        <v>2930</v>
      </c>
      <c r="H6" s="8">
        <v>2843</v>
      </c>
      <c r="I6" s="8">
        <v>5180</v>
      </c>
      <c r="J6" s="8">
        <v>7119</v>
      </c>
      <c r="K6" s="8">
        <v>1604</v>
      </c>
      <c r="L6" s="9">
        <v>3698</v>
      </c>
      <c r="M6" s="8"/>
      <c r="N6" s="8"/>
      <c r="O6" s="8"/>
      <c r="P6" s="8">
        <f>SUM(D6:O6)</f>
        <v>34283</v>
      </c>
      <c r="Q6" s="10" t="e" cm="1">
        <f t="array" ref="Q6">P6/P6C6</f>
        <v>#NAME?</v>
      </c>
      <c r="R6" s="11"/>
      <c r="T6" s="12"/>
      <c r="U6" s="90"/>
      <c r="V6" s="86"/>
      <c r="W6" s="86"/>
      <c r="X6" s="86"/>
      <c r="Y6" s="86"/>
      <c r="Z6" s="86"/>
      <c r="AA6" s="86"/>
    </row>
    <row r="7" spans="1:27" ht="14.25" customHeight="1" x14ac:dyDescent="0.25">
      <c r="A7" s="13">
        <v>2</v>
      </c>
      <c r="B7" s="14" t="s">
        <v>25</v>
      </c>
      <c r="C7" s="15">
        <v>35678</v>
      </c>
      <c r="D7" s="15">
        <v>2967</v>
      </c>
      <c r="E7" s="15">
        <v>4484</v>
      </c>
      <c r="F7" s="15">
        <v>2414</v>
      </c>
      <c r="G7" s="15">
        <v>2189</v>
      </c>
      <c r="H7" s="15">
        <v>2465</v>
      </c>
      <c r="I7" s="15">
        <v>3415</v>
      </c>
      <c r="J7" s="15">
        <v>3732</v>
      </c>
      <c r="K7" s="15">
        <v>2532</v>
      </c>
      <c r="L7" s="16">
        <v>2033</v>
      </c>
      <c r="M7" s="15"/>
      <c r="N7" s="15"/>
      <c r="O7" s="15"/>
      <c r="P7" s="15">
        <f t="shared" ref="P6:P47" si="0">SUM(D7:O7)</f>
        <v>26231</v>
      </c>
      <c r="Q7" s="17">
        <f t="shared" ref="Q6:Q48" si="1">P7/C7</f>
        <v>0.73521497841807271</v>
      </c>
      <c r="R7" s="11"/>
      <c r="T7" s="12"/>
      <c r="U7" s="87"/>
      <c r="V7" s="87"/>
      <c r="W7" s="87"/>
      <c r="X7" s="87"/>
      <c r="Y7" s="87"/>
      <c r="Z7" s="87"/>
      <c r="AA7" s="87"/>
    </row>
    <row r="8" spans="1:27" ht="14.25" customHeight="1" x14ac:dyDescent="0.25">
      <c r="A8" s="13">
        <v>3</v>
      </c>
      <c r="B8" s="14" t="s">
        <v>26</v>
      </c>
      <c r="C8" s="15">
        <v>27731</v>
      </c>
      <c r="D8" s="15">
        <v>3163</v>
      </c>
      <c r="E8" s="15">
        <v>3795</v>
      </c>
      <c r="F8" s="15">
        <v>838</v>
      </c>
      <c r="G8" s="15">
        <v>2190</v>
      </c>
      <c r="H8" s="15">
        <v>2313</v>
      </c>
      <c r="I8" s="15">
        <v>2683</v>
      </c>
      <c r="J8" s="15">
        <v>6486</v>
      </c>
      <c r="K8" s="15">
        <v>1300</v>
      </c>
      <c r="L8" s="16">
        <v>3642</v>
      </c>
      <c r="M8" s="15"/>
      <c r="N8" s="15"/>
      <c r="O8" s="15"/>
      <c r="P8" s="15">
        <f t="shared" si="0"/>
        <v>26410</v>
      </c>
      <c r="Q8" s="17">
        <f t="shared" si="1"/>
        <v>0.95236378060654137</v>
      </c>
      <c r="R8" s="11"/>
      <c r="T8" s="12"/>
      <c r="U8" s="83"/>
      <c r="V8" s="83"/>
      <c r="W8" s="83"/>
      <c r="X8" s="83"/>
      <c r="Y8" s="83"/>
      <c r="Z8" s="83"/>
      <c r="AA8" s="83"/>
    </row>
    <row r="9" spans="1:27" ht="14.25" customHeight="1" x14ac:dyDescent="0.25">
      <c r="A9" s="13">
        <v>4</v>
      </c>
      <c r="B9" s="14" t="s">
        <v>27</v>
      </c>
      <c r="C9" s="15">
        <v>51856</v>
      </c>
      <c r="D9" s="15">
        <v>4070</v>
      </c>
      <c r="E9" s="15">
        <v>6150</v>
      </c>
      <c r="F9" s="15">
        <v>5374</v>
      </c>
      <c r="G9" s="15">
        <v>2358</v>
      </c>
      <c r="H9" s="15">
        <v>6920</v>
      </c>
      <c r="I9" s="15">
        <v>5357</v>
      </c>
      <c r="J9" s="15">
        <v>5209</v>
      </c>
      <c r="K9" s="15">
        <v>4959</v>
      </c>
      <c r="L9" s="16">
        <v>1918</v>
      </c>
      <c r="M9" s="15"/>
      <c r="N9" s="15"/>
      <c r="O9" s="15"/>
      <c r="P9" s="15">
        <f t="shared" si="0"/>
        <v>42315</v>
      </c>
      <c r="Q9" s="17">
        <f t="shared" si="1"/>
        <v>0.81600971922246224</v>
      </c>
      <c r="R9" s="11"/>
      <c r="T9" s="12"/>
      <c r="U9" s="91"/>
      <c r="V9" s="84"/>
      <c r="W9" s="84"/>
      <c r="X9" s="82"/>
      <c r="Y9" s="84"/>
      <c r="Z9" s="84"/>
      <c r="AA9" s="82"/>
    </row>
    <row r="10" spans="1:27" ht="14.25" customHeight="1" x14ac:dyDescent="0.25">
      <c r="A10" s="13">
        <v>5</v>
      </c>
      <c r="B10" s="14" t="s">
        <v>28</v>
      </c>
      <c r="C10" s="15">
        <v>25612</v>
      </c>
      <c r="D10" s="15">
        <v>1701</v>
      </c>
      <c r="E10" s="15">
        <v>3208</v>
      </c>
      <c r="F10" s="15">
        <v>2244</v>
      </c>
      <c r="G10" s="15">
        <v>1658</v>
      </c>
      <c r="H10" s="15">
        <v>1648</v>
      </c>
      <c r="I10" s="15">
        <v>3346</v>
      </c>
      <c r="J10" s="15">
        <v>2282</v>
      </c>
      <c r="K10" s="15">
        <v>1404</v>
      </c>
      <c r="L10" s="16">
        <v>1111</v>
      </c>
      <c r="M10" s="15"/>
      <c r="N10" s="15"/>
      <c r="O10" s="15"/>
      <c r="P10" s="15">
        <f t="shared" si="0"/>
        <v>18602</v>
      </c>
      <c r="Q10" s="17">
        <f t="shared" si="1"/>
        <v>0.72630017179447137</v>
      </c>
      <c r="R10" s="11"/>
      <c r="T10" s="12"/>
      <c r="U10" s="83"/>
      <c r="V10" s="83"/>
      <c r="W10" s="83"/>
      <c r="X10" s="83"/>
      <c r="Y10" s="83"/>
      <c r="Z10" s="83"/>
      <c r="AA10" s="83"/>
    </row>
    <row r="11" spans="1:27" ht="14.25" customHeight="1" x14ac:dyDescent="0.25">
      <c r="A11" s="13">
        <v>6</v>
      </c>
      <c r="B11" s="14" t="s">
        <v>29</v>
      </c>
      <c r="C11" s="15">
        <v>37559</v>
      </c>
      <c r="D11" s="15">
        <v>3477</v>
      </c>
      <c r="E11" s="15">
        <v>4045</v>
      </c>
      <c r="F11" s="15">
        <v>4593</v>
      </c>
      <c r="G11" s="15">
        <v>3006</v>
      </c>
      <c r="H11" s="15">
        <v>3310</v>
      </c>
      <c r="I11" s="15">
        <v>4804</v>
      </c>
      <c r="J11" s="15">
        <v>4332</v>
      </c>
      <c r="K11" s="15">
        <v>5144</v>
      </c>
      <c r="L11" s="16">
        <v>3346</v>
      </c>
      <c r="M11" s="15"/>
      <c r="N11" s="15"/>
      <c r="O11" s="15"/>
      <c r="P11" s="15">
        <f t="shared" si="0"/>
        <v>36057</v>
      </c>
      <c r="Q11" s="17">
        <f t="shared" si="1"/>
        <v>0.96000958491972632</v>
      </c>
      <c r="R11" s="11"/>
      <c r="T11" s="12"/>
    </row>
    <row r="12" spans="1:27" ht="14.25" customHeight="1" x14ac:dyDescent="0.25">
      <c r="A12" s="13">
        <v>7</v>
      </c>
      <c r="B12" s="14" t="s">
        <v>30</v>
      </c>
      <c r="C12" s="15">
        <v>6694</v>
      </c>
      <c r="D12" s="15">
        <v>623</v>
      </c>
      <c r="E12" s="15">
        <v>525</v>
      </c>
      <c r="F12" s="15">
        <v>675</v>
      </c>
      <c r="G12" s="15">
        <v>439</v>
      </c>
      <c r="H12" s="15">
        <v>486</v>
      </c>
      <c r="I12" s="15">
        <v>683</v>
      </c>
      <c r="J12" s="15">
        <v>768</v>
      </c>
      <c r="K12" s="15">
        <v>699</v>
      </c>
      <c r="L12" s="16">
        <v>399</v>
      </c>
      <c r="M12" s="15"/>
      <c r="N12" s="15"/>
      <c r="O12" s="15"/>
      <c r="P12" s="15">
        <f t="shared" si="0"/>
        <v>5297</v>
      </c>
      <c r="Q12" s="17">
        <f t="shared" si="1"/>
        <v>0.79130564684792348</v>
      </c>
      <c r="R12" s="11"/>
      <c r="T12" s="12"/>
      <c r="V12" s="12"/>
      <c r="W12" s="12"/>
      <c r="X12" s="12"/>
      <c r="Y12" s="12"/>
      <c r="Z12" s="12"/>
      <c r="AA12" s="12"/>
    </row>
    <row r="13" spans="1:27" ht="14.25" customHeight="1" x14ac:dyDescent="0.25">
      <c r="A13" s="13">
        <v>8</v>
      </c>
      <c r="B13" s="14" t="s">
        <v>31</v>
      </c>
      <c r="C13" s="15">
        <v>22707</v>
      </c>
      <c r="D13" s="15">
        <v>3855</v>
      </c>
      <c r="E13" s="15">
        <v>2607</v>
      </c>
      <c r="F13" s="15">
        <v>2019</v>
      </c>
      <c r="G13" s="15">
        <v>3005</v>
      </c>
      <c r="H13" s="15">
        <v>2057</v>
      </c>
      <c r="I13" s="15">
        <v>2855</v>
      </c>
      <c r="J13" s="15">
        <v>1849</v>
      </c>
      <c r="K13" s="15">
        <v>1742</v>
      </c>
      <c r="L13" s="16">
        <v>1697</v>
      </c>
      <c r="M13" s="15"/>
      <c r="N13" s="15"/>
      <c r="O13" s="15"/>
      <c r="P13" s="15">
        <f t="shared" si="0"/>
        <v>21686</v>
      </c>
      <c r="Q13" s="17">
        <f t="shared" si="1"/>
        <v>0.95503589201567796</v>
      </c>
      <c r="R13" s="11"/>
      <c r="T13" s="12"/>
    </row>
    <row r="14" spans="1:27" ht="14.25" customHeight="1" x14ac:dyDescent="0.25">
      <c r="A14" s="13">
        <v>9</v>
      </c>
      <c r="B14" s="14" t="s">
        <v>32</v>
      </c>
      <c r="C14" s="15">
        <v>16873</v>
      </c>
      <c r="D14" s="15">
        <v>1965</v>
      </c>
      <c r="E14" s="15">
        <v>2310</v>
      </c>
      <c r="F14" s="15">
        <v>4395</v>
      </c>
      <c r="G14" s="15">
        <v>988</v>
      </c>
      <c r="H14" s="15">
        <v>990</v>
      </c>
      <c r="I14" s="15">
        <v>1742</v>
      </c>
      <c r="J14" s="15">
        <v>5059</v>
      </c>
      <c r="K14" s="15">
        <v>234</v>
      </c>
      <c r="L14" s="16">
        <v>1189</v>
      </c>
      <c r="M14" s="15"/>
      <c r="N14" s="15"/>
      <c r="O14" s="15"/>
      <c r="P14" s="15">
        <f t="shared" si="0"/>
        <v>18872</v>
      </c>
      <c r="Q14" s="17">
        <f t="shared" si="1"/>
        <v>1.1184733005393233</v>
      </c>
      <c r="R14" s="11"/>
      <c r="T14" s="12"/>
    </row>
    <row r="15" spans="1:27" ht="14.25" customHeight="1" x14ac:dyDescent="0.25">
      <c r="A15" s="13">
        <v>10</v>
      </c>
      <c r="B15" s="14" t="s">
        <v>33</v>
      </c>
      <c r="C15" s="15">
        <v>21231</v>
      </c>
      <c r="D15" s="15">
        <v>1221</v>
      </c>
      <c r="E15" s="15">
        <v>1822</v>
      </c>
      <c r="F15" s="15">
        <v>1595</v>
      </c>
      <c r="G15" s="15">
        <v>1333</v>
      </c>
      <c r="H15" s="15">
        <v>1141</v>
      </c>
      <c r="I15" s="15">
        <v>1586</v>
      </c>
      <c r="J15" s="15">
        <v>1031</v>
      </c>
      <c r="K15" s="15">
        <v>4862</v>
      </c>
      <c r="L15" s="16">
        <v>1252</v>
      </c>
      <c r="M15" s="15"/>
      <c r="N15" s="15"/>
      <c r="O15" s="15"/>
      <c r="P15" s="15">
        <f t="shared" si="0"/>
        <v>15843</v>
      </c>
      <c r="Q15" s="17">
        <f t="shared" si="1"/>
        <v>0.74622014978098061</v>
      </c>
      <c r="R15" s="11"/>
      <c r="T15" s="12"/>
    </row>
    <row r="16" spans="1:27" ht="14.25" customHeight="1" x14ac:dyDescent="0.25">
      <c r="A16" s="13">
        <v>11</v>
      </c>
      <c r="B16" s="14" t="s">
        <v>34</v>
      </c>
      <c r="C16" s="15">
        <v>26222</v>
      </c>
      <c r="D16" s="15">
        <v>2357</v>
      </c>
      <c r="E16" s="15">
        <v>3505</v>
      </c>
      <c r="F16" s="15">
        <v>3112</v>
      </c>
      <c r="G16" s="15">
        <v>3641</v>
      </c>
      <c r="H16" s="15">
        <v>2224</v>
      </c>
      <c r="I16" s="15">
        <v>2667</v>
      </c>
      <c r="J16" s="15">
        <v>2144</v>
      </c>
      <c r="K16" s="15">
        <v>2960</v>
      </c>
      <c r="L16" s="16">
        <v>1774</v>
      </c>
      <c r="M16" s="15"/>
      <c r="N16" s="15"/>
      <c r="O16" s="15"/>
      <c r="P16" s="15">
        <f t="shared" si="0"/>
        <v>24384</v>
      </c>
      <c r="Q16" s="17">
        <f t="shared" si="1"/>
        <v>0.92990618564564109</v>
      </c>
      <c r="R16" s="11"/>
      <c r="T16" s="12"/>
    </row>
    <row r="17" spans="1:20" ht="14.25" customHeight="1" x14ac:dyDescent="0.25">
      <c r="A17" s="13">
        <v>12</v>
      </c>
      <c r="B17" s="14" t="s">
        <v>35</v>
      </c>
      <c r="C17" s="15">
        <v>15403</v>
      </c>
      <c r="D17" s="15">
        <v>1733</v>
      </c>
      <c r="E17" s="15">
        <v>1696</v>
      </c>
      <c r="F17" s="15">
        <v>1658</v>
      </c>
      <c r="G17" s="15">
        <v>1287</v>
      </c>
      <c r="H17" s="15">
        <v>1416</v>
      </c>
      <c r="I17" s="15">
        <v>1967</v>
      </c>
      <c r="J17" s="15">
        <v>2133</v>
      </c>
      <c r="K17" s="15">
        <v>1960</v>
      </c>
      <c r="L17" s="16">
        <v>1768</v>
      </c>
      <c r="M17" s="15"/>
      <c r="N17" s="15"/>
      <c r="O17" s="15"/>
      <c r="P17" s="15">
        <f t="shared" si="0"/>
        <v>15618</v>
      </c>
      <c r="Q17" s="17">
        <f t="shared" si="1"/>
        <v>1.0139583198078297</v>
      </c>
      <c r="R17" s="11"/>
      <c r="T17" s="12"/>
    </row>
    <row r="18" spans="1:20" ht="14.25" customHeight="1" x14ac:dyDescent="0.25">
      <c r="A18" s="13">
        <v>13</v>
      </c>
      <c r="B18" s="14" t="s">
        <v>36</v>
      </c>
      <c r="C18" s="15">
        <v>9075</v>
      </c>
      <c r="D18" s="15">
        <v>985</v>
      </c>
      <c r="E18" s="15">
        <v>1717</v>
      </c>
      <c r="F18" s="15">
        <v>1246</v>
      </c>
      <c r="G18" s="15">
        <v>721</v>
      </c>
      <c r="H18" s="15">
        <v>821</v>
      </c>
      <c r="I18" s="15">
        <v>1172</v>
      </c>
      <c r="J18" s="15">
        <v>707</v>
      </c>
      <c r="K18" s="15">
        <v>740</v>
      </c>
      <c r="L18" s="16">
        <v>825</v>
      </c>
      <c r="M18" s="15"/>
      <c r="N18" s="15"/>
      <c r="O18" s="15"/>
      <c r="P18" s="15">
        <f t="shared" si="0"/>
        <v>8934</v>
      </c>
      <c r="Q18" s="17">
        <f t="shared" si="1"/>
        <v>0.98446280991735535</v>
      </c>
      <c r="R18" s="11"/>
      <c r="T18" s="12"/>
    </row>
    <row r="19" spans="1:20" ht="14.25" customHeight="1" x14ac:dyDescent="0.25">
      <c r="A19" s="13">
        <v>14</v>
      </c>
      <c r="B19" s="14" t="s">
        <v>37</v>
      </c>
      <c r="C19" s="15">
        <v>10783</v>
      </c>
      <c r="D19" s="15">
        <v>1148</v>
      </c>
      <c r="E19" s="15">
        <v>1062</v>
      </c>
      <c r="F19" s="15">
        <v>1424</v>
      </c>
      <c r="G19" s="15">
        <v>861</v>
      </c>
      <c r="H19" s="15">
        <v>949</v>
      </c>
      <c r="I19" s="15">
        <v>1317</v>
      </c>
      <c r="J19" s="15">
        <v>1065</v>
      </c>
      <c r="K19" s="15">
        <v>1801</v>
      </c>
      <c r="L19" s="16">
        <v>1126</v>
      </c>
      <c r="M19" s="15"/>
      <c r="N19" s="15"/>
      <c r="O19" s="15"/>
      <c r="P19" s="15">
        <f t="shared" si="0"/>
        <v>10753</v>
      </c>
      <c r="Q19" s="17">
        <f t="shared" si="1"/>
        <v>0.99721784290086246</v>
      </c>
      <c r="R19" s="11"/>
      <c r="T19" s="12"/>
    </row>
    <row r="20" spans="1:20" ht="14.25" customHeight="1" x14ac:dyDescent="0.25">
      <c r="A20" s="13">
        <v>15</v>
      </c>
      <c r="B20" s="14" t="s">
        <v>38</v>
      </c>
      <c r="C20" s="15">
        <v>2951</v>
      </c>
      <c r="D20" s="15">
        <v>219</v>
      </c>
      <c r="E20" s="15">
        <v>370</v>
      </c>
      <c r="F20" s="15">
        <v>272</v>
      </c>
      <c r="G20" s="15">
        <v>199</v>
      </c>
      <c r="H20" s="15">
        <v>206</v>
      </c>
      <c r="I20" s="15">
        <v>271</v>
      </c>
      <c r="J20" s="15">
        <v>225</v>
      </c>
      <c r="K20" s="15">
        <v>245</v>
      </c>
      <c r="L20" s="16">
        <v>480</v>
      </c>
      <c r="M20" s="15"/>
      <c r="N20" s="15"/>
      <c r="O20" s="15"/>
      <c r="P20" s="15">
        <f t="shared" si="0"/>
        <v>2487</v>
      </c>
      <c r="Q20" s="17">
        <f t="shared" si="1"/>
        <v>0.84276516435106741</v>
      </c>
      <c r="R20" s="11"/>
      <c r="T20" s="12"/>
    </row>
    <row r="21" spans="1:20" ht="14.25" customHeight="1" x14ac:dyDescent="0.25">
      <c r="A21" s="13">
        <v>16</v>
      </c>
      <c r="B21" s="14" t="s">
        <v>39</v>
      </c>
      <c r="C21" s="15">
        <v>25889</v>
      </c>
      <c r="D21" s="15">
        <v>2635</v>
      </c>
      <c r="E21" s="15">
        <v>2397</v>
      </c>
      <c r="F21" s="15">
        <v>2692</v>
      </c>
      <c r="G21" s="15">
        <v>1824</v>
      </c>
      <c r="H21" s="15">
        <v>2009</v>
      </c>
      <c r="I21" s="15">
        <v>2789</v>
      </c>
      <c r="J21" s="15">
        <v>2507</v>
      </c>
      <c r="K21" s="15">
        <v>3121</v>
      </c>
      <c r="L21" s="16">
        <v>4032</v>
      </c>
      <c r="M21" s="15"/>
      <c r="N21" s="15"/>
      <c r="O21" s="15"/>
      <c r="P21" s="15">
        <f t="shared" si="0"/>
        <v>24006</v>
      </c>
      <c r="Q21" s="17">
        <f t="shared" si="1"/>
        <v>0.92726640658194603</v>
      </c>
      <c r="R21" s="11"/>
      <c r="T21" s="12"/>
    </row>
    <row r="22" spans="1:20" ht="14.25" customHeight="1" x14ac:dyDescent="0.25">
      <c r="A22" s="13">
        <v>17</v>
      </c>
      <c r="B22" s="14" t="s">
        <v>40</v>
      </c>
      <c r="C22" s="15">
        <v>21396</v>
      </c>
      <c r="D22" s="15">
        <v>2939</v>
      </c>
      <c r="E22" s="15">
        <v>2554</v>
      </c>
      <c r="F22" s="15">
        <v>2045</v>
      </c>
      <c r="G22" s="15">
        <v>2240</v>
      </c>
      <c r="H22" s="15">
        <v>2339</v>
      </c>
      <c r="I22" s="15">
        <v>2076</v>
      </c>
      <c r="J22" s="15">
        <v>1981</v>
      </c>
      <c r="K22" s="15">
        <v>1821</v>
      </c>
      <c r="L22" s="16">
        <v>2308</v>
      </c>
      <c r="M22" s="15"/>
      <c r="N22" s="15"/>
      <c r="O22" s="15"/>
      <c r="P22" s="15">
        <f t="shared" si="0"/>
        <v>20303</v>
      </c>
      <c r="Q22" s="17">
        <f t="shared" si="1"/>
        <v>0.94891568517479907</v>
      </c>
      <c r="R22" s="11"/>
      <c r="T22" s="12"/>
    </row>
    <row r="23" spans="1:20" ht="14.25" customHeight="1" x14ac:dyDescent="0.25">
      <c r="A23" s="13">
        <v>18</v>
      </c>
      <c r="B23" s="14" t="s">
        <v>41</v>
      </c>
      <c r="C23" s="15">
        <v>19948</v>
      </c>
      <c r="D23" s="15">
        <v>3217</v>
      </c>
      <c r="E23" s="15">
        <v>3057</v>
      </c>
      <c r="F23" s="15">
        <v>3034</v>
      </c>
      <c r="G23" s="15">
        <v>2761</v>
      </c>
      <c r="H23" s="15">
        <v>2645</v>
      </c>
      <c r="I23" s="15">
        <v>2572</v>
      </c>
      <c r="J23" s="15">
        <v>2515</v>
      </c>
      <c r="K23" s="15">
        <v>2488</v>
      </c>
      <c r="L23" s="16">
        <v>1793</v>
      </c>
      <c r="M23" s="15"/>
      <c r="N23" s="15"/>
      <c r="O23" s="15"/>
      <c r="P23" s="15">
        <f t="shared" si="0"/>
        <v>24082</v>
      </c>
      <c r="Q23" s="17">
        <f t="shared" si="1"/>
        <v>1.2072388209344296</v>
      </c>
      <c r="R23" s="11"/>
      <c r="T23" s="12"/>
    </row>
    <row r="24" spans="1:20" ht="14.25" customHeight="1" x14ac:dyDescent="0.25">
      <c r="A24" s="13">
        <v>19</v>
      </c>
      <c r="B24" s="14" t="s">
        <v>42</v>
      </c>
      <c r="C24" s="15">
        <v>3043</v>
      </c>
      <c r="D24" s="15">
        <v>341</v>
      </c>
      <c r="E24" s="15">
        <v>345</v>
      </c>
      <c r="F24" s="15">
        <v>218</v>
      </c>
      <c r="G24" s="15">
        <v>320</v>
      </c>
      <c r="H24" s="15">
        <v>334</v>
      </c>
      <c r="I24" s="15">
        <v>313</v>
      </c>
      <c r="J24" s="15">
        <v>279</v>
      </c>
      <c r="K24" s="15">
        <v>216</v>
      </c>
      <c r="L24" s="16">
        <v>279</v>
      </c>
      <c r="M24" s="15"/>
      <c r="N24" s="15"/>
      <c r="O24" s="15"/>
      <c r="P24" s="15">
        <f t="shared" si="0"/>
        <v>2645</v>
      </c>
      <c r="Q24" s="17">
        <f t="shared" si="1"/>
        <v>0.86920801840289186</v>
      </c>
      <c r="R24" s="11"/>
      <c r="T24" s="12"/>
    </row>
    <row r="25" spans="1:20" ht="14.25" customHeight="1" x14ac:dyDescent="0.25">
      <c r="A25" s="13">
        <v>20</v>
      </c>
      <c r="B25" s="14" t="s">
        <v>43</v>
      </c>
      <c r="C25" s="15">
        <v>15005</v>
      </c>
      <c r="D25" s="15">
        <v>1654</v>
      </c>
      <c r="E25" s="15">
        <v>2390</v>
      </c>
      <c r="F25" s="15">
        <v>1802</v>
      </c>
      <c r="G25" s="15">
        <v>1106</v>
      </c>
      <c r="H25" s="15">
        <v>1279</v>
      </c>
      <c r="I25" s="15">
        <v>1704</v>
      </c>
      <c r="J25" s="15">
        <v>1090</v>
      </c>
      <c r="K25" s="15">
        <v>1743</v>
      </c>
      <c r="L25" s="16">
        <v>1562</v>
      </c>
      <c r="M25" s="15"/>
      <c r="N25" s="15"/>
      <c r="O25" s="15"/>
      <c r="P25" s="15">
        <f t="shared" si="0"/>
        <v>14330</v>
      </c>
      <c r="Q25" s="17">
        <f t="shared" si="1"/>
        <v>0.95501499500166609</v>
      </c>
      <c r="R25" s="11"/>
      <c r="T25" s="12"/>
    </row>
    <row r="26" spans="1:20" ht="14.25" customHeight="1" x14ac:dyDescent="0.25">
      <c r="A26" s="13">
        <v>21</v>
      </c>
      <c r="B26" s="14" t="s">
        <v>44</v>
      </c>
      <c r="C26" s="15">
        <v>12035</v>
      </c>
      <c r="D26" s="15">
        <v>1285</v>
      </c>
      <c r="E26" s="15">
        <v>1923</v>
      </c>
      <c r="F26" s="15">
        <v>1542</v>
      </c>
      <c r="G26" s="15">
        <v>1100</v>
      </c>
      <c r="H26" s="15">
        <v>1109</v>
      </c>
      <c r="I26" s="15">
        <v>1540</v>
      </c>
      <c r="J26" s="15">
        <v>1364</v>
      </c>
      <c r="K26" s="15">
        <v>969</v>
      </c>
      <c r="L26" s="16">
        <v>963</v>
      </c>
      <c r="M26" s="15"/>
      <c r="N26" s="15"/>
      <c r="O26" s="15"/>
      <c r="P26" s="15">
        <f t="shared" si="0"/>
        <v>11795</v>
      </c>
      <c r="Q26" s="17">
        <f t="shared" si="1"/>
        <v>0.9800581636892397</v>
      </c>
      <c r="R26" s="11"/>
      <c r="T26" s="12"/>
    </row>
    <row r="27" spans="1:20" ht="14.25" customHeight="1" x14ac:dyDescent="0.25">
      <c r="A27" s="13">
        <v>22</v>
      </c>
      <c r="B27" s="14" t="s">
        <v>45</v>
      </c>
      <c r="C27" s="15">
        <v>16875</v>
      </c>
      <c r="D27" s="15">
        <v>1649</v>
      </c>
      <c r="E27" s="15">
        <v>2249</v>
      </c>
      <c r="F27" s="15">
        <v>2175</v>
      </c>
      <c r="G27" s="15">
        <v>1448</v>
      </c>
      <c r="H27" s="15">
        <v>1561</v>
      </c>
      <c r="I27" s="15">
        <v>1556</v>
      </c>
      <c r="J27" s="15">
        <v>2090</v>
      </c>
      <c r="K27" s="15">
        <v>1387</v>
      </c>
      <c r="L27" s="16">
        <v>1469</v>
      </c>
      <c r="M27" s="15"/>
      <c r="N27" s="15"/>
      <c r="O27" s="15"/>
      <c r="P27" s="15">
        <f t="shared" si="0"/>
        <v>15584</v>
      </c>
      <c r="Q27" s="17">
        <f t="shared" si="1"/>
        <v>0.92349629629629626</v>
      </c>
      <c r="R27" s="11"/>
      <c r="T27" s="12"/>
    </row>
    <row r="28" spans="1:20" ht="14.25" customHeight="1" x14ac:dyDescent="0.25">
      <c r="A28" s="13">
        <v>23</v>
      </c>
      <c r="B28" s="14" t="s">
        <v>46</v>
      </c>
      <c r="C28" s="15">
        <v>6835</v>
      </c>
      <c r="D28" s="15">
        <v>1141</v>
      </c>
      <c r="E28" s="15">
        <v>1081</v>
      </c>
      <c r="F28" s="15">
        <v>829</v>
      </c>
      <c r="G28" s="15">
        <v>593</v>
      </c>
      <c r="H28" s="15">
        <v>567</v>
      </c>
      <c r="I28" s="15">
        <v>626</v>
      </c>
      <c r="J28" s="15">
        <v>828</v>
      </c>
      <c r="K28" s="15">
        <v>802</v>
      </c>
      <c r="L28" s="16">
        <v>530</v>
      </c>
      <c r="M28" s="15"/>
      <c r="N28" s="15"/>
      <c r="O28" s="15"/>
      <c r="P28" s="15">
        <f t="shared" si="0"/>
        <v>6997</v>
      </c>
      <c r="Q28" s="17">
        <f t="shared" si="1"/>
        <v>1.0237015362106803</v>
      </c>
      <c r="R28" s="11"/>
      <c r="T28" s="12"/>
    </row>
    <row r="29" spans="1:20" ht="14.25" customHeight="1" x14ac:dyDescent="0.25">
      <c r="A29" s="13">
        <v>24</v>
      </c>
      <c r="B29" s="14" t="s">
        <v>47</v>
      </c>
      <c r="C29" s="15">
        <v>11845</v>
      </c>
      <c r="D29" s="15">
        <v>1321</v>
      </c>
      <c r="E29" s="15">
        <v>141</v>
      </c>
      <c r="F29" s="15">
        <v>1805</v>
      </c>
      <c r="G29" s="15">
        <v>1319</v>
      </c>
      <c r="H29" s="15">
        <v>696</v>
      </c>
      <c r="I29" s="15">
        <v>1387</v>
      </c>
      <c r="J29" s="15">
        <v>1318</v>
      </c>
      <c r="K29" s="15">
        <v>1960</v>
      </c>
      <c r="L29" s="16">
        <v>1312</v>
      </c>
      <c r="M29" s="15"/>
      <c r="N29" s="15"/>
      <c r="O29" s="15"/>
      <c r="P29" s="15">
        <f t="shared" si="0"/>
        <v>11259</v>
      </c>
      <c r="Q29" s="17">
        <f t="shared" si="1"/>
        <v>0.95052764879696072</v>
      </c>
      <c r="R29" s="11"/>
      <c r="T29" s="12"/>
    </row>
    <row r="30" spans="1:20" ht="14.25" customHeight="1" x14ac:dyDescent="0.25">
      <c r="A30" s="13">
        <v>25</v>
      </c>
      <c r="B30" s="14" t="s">
        <v>48</v>
      </c>
      <c r="C30" s="15">
        <v>12930</v>
      </c>
      <c r="D30" s="15">
        <v>1710</v>
      </c>
      <c r="E30" s="15">
        <v>707</v>
      </c>
      <c r="F30" s="15">
        <v>1394</v>
      </c>
      <c r="G30" s="15">
        <v>1707</v>
      </c>
      <c r="H30" s="15">
        <v>1397</v>
      </c>
      <c r="I30" s="15">
        <v>1393</v>
      </c>
      <c r="J30" s="15">
        <v>1198</v>
      </c>
      <c r="K30" s="15">
        <v>1789</v>
      </c>
      <c r="L30" s="16">
        <v>1962</v>
      </c>
      <c r="M30" s="15"/>
      <c r="N30" s="15"/>
      <c r="O30" s="15"/>
      <c r="P30" s="15">
        <f t="shared" si="0"/>
        <v>13257</v>
      </c>
      <c r="Q30" s="17">
        <f t="shared" si="1"/>
        <v>1.0252900232018562</v>
      </c>
      <c r="R30" s="11"/>
      <c r="T30" s="12"/>
    </row>
    <row r="31" spans="1:20" ht="14.25" customHeight="1" x14ac:dyDescent="0.25">
      <c r="A31" s="13">
        <v>26</v>
      </c>
      <c r="B31" s="14" t="s">
        <v>49</v>
      </c>
      <c r="C31" s="15">
        <v>11283</v>
      </c>
      <c r="D31" s="15">
        <v>1378</v>
      </c>
      <c r="E31" s="15">
        <v>866</v>
      </c>
      <c r="F31" s="15">
        <v>1766</v>
      </c>
      <c r="G31" s="15">
        <v>1045</v>
      </c>
      <c r="H31" s="15">
        <v>1269</v>
      </c>
      <c r="I31" s="15">
        <v>1191</v>
      </c>
      <c r="J31" s="15">
        <v>1144</v>
      </c>
      <c r="K31" s="15">
        <v>1984</v>
      </c>
      <c r="L31" s="16">
        <v>881</v>
      </c>
      <c r="M31" s="15"/>
      <c r="N31" s="15"/>
      <c r="O31" s="15"/>
      <c r="P31" s="15">
        <f t="shared" si="0"/>
        <v>11524</v>
      </c>
      <c r="Q31" s="17">
        <f t="shared" si="1"/>
        <v>1.0213595674909155</v>
      </c>
      <c r="R31" s="11"/>
      <c r="T31" s="12"/>
    </row>
    <row r="32" spans="1:20" ht="14.25" customHeight="1" x14ac:dyDescent="0.25">
      <c r="A32" s="13">
        <v>27</v>
      </c>
      <c r="B32" s="14" t="s">
        <v>50</v>
      </c>
      <c r="C32" s="15">
        <v>18637</v>
      </c>
      <c r="D32" s="15">
        <v>3279</v>
      </c>
      <c r="E32" s="15">
        <v>2863</v>
      </c>
      <c r="F32" s="15">
        <v>3397</v>
      </c>
      <c r="G32" s="15">
        <v>1922</v>
      </c>
      <c r="H32" s="15">
        <v>1954</v>
      </c>
      <c r="I32" s="15">
        <v>2738</v>
      </c>
      <c r="J32" s="15">
        <v>2451</v>
      </c>
      <c r="K32" s="15">
        <v>2437</v>
      </c>
      <c r="L32" s="16">
        <v>2192</v>
      </c>
      <c r="M32" s="15"/>
      <c r="N32" s="15"/>
      <c r="O32" s="15"/>
      <c r="P32" s="15">
        <f t="shared" si="0"/>
        <v>23233</v>
      </c>
      <c r="Q32" s="17">
        <f t="shared" si="1"/>
        <v>1.24660621344637</v>
      </c>
      <c r="R32" s="11"/>
      <c r="T32" s="12"/>
    </row>
    <row r="33" spans="1:20" ht="14.25" customHeight="1" x14ac:dyDescent="0.25">
      <c r="A33" s="13">
        <v>28</v>
      </c>
      <c r="B33" s="14" t="s">
        <v>51</v>
      </c>
      <c r="C33" s="15">
        <v>6216</v>
      </c>
      <c r="D33" s="15">
        <v>626</v>
      </c>
      <c r="E33" s="15">
        <v>713</v>
      </c>
      <c r="F33" s="15">
        <v>1057</v>
      </c>
      <c r="G33" s="15">
        <v>855</v>
      </c>
      <c r="H33" s="15">
        <v>488</v>
      </c>
      <c r="I33" s="15">
        <v>778</v>
      </c>
      <c r="J33" s="15">
        <v>930</v>
      </c>
      <c r="K33" s="15">
        <v>934</v>
      </c>
      <c r="L33" s="16">
        <v>956</v>
      </c>
      <c r="M33" s="15"/>
      <c r="N33" s="15"/>
      <c r="O33" s="15"/>
      <c r="P33" s="15">
        <f t="shared" si="0"/>
        <v>7337</v>
      </c>
      <c r="Q33" s="17">
        <f t="shared" si="1"/>
        <v>1.1803410553410554</v>
      </c>
      <c r="R33" s="11"/>
      <c r="T33" s="12"/>
    </row>
    <row r="34" spans="1:20" ht="14.25" customHeight="1" x14ac:dyDescent="0.25">
      <c r="A34" s="13">
        <v>29</v>
      </c>
      <c r="B34" s="14" t="s">
        <v>52</v>
      </c>
      <c r="C34" s="15">
        <v>7087</v>
      </c>
      <c r="D34" s="15">
        <v>1419</v>
      </c>
      <c r="E34" s="15">
        <v>1029</v>
      </c>
      <c r="F34" s="15">
        <v>972</v>
      </c>
      <c r="G34" s="15">
        <v>702</v>
      </c>
      <c r="H34" s="15">
        <v>536</v>
      </c>
      <c r="I34" s="15">
        <v>971</v>
      </c>
      <c r="J34" s="15">
        <v>617</v>
      </c>
      <c r="K34" s="15">
        <v>698</v>
      </c>
      <c r="L34" s="16">
        <v>678</v>
      </c>
      <c r="M34" s="15"/>
      <c r="N34" s="15"/>
      <c r="O34" s="15"/>
      <c r="P34" s="15">
        <f t="shared" si="0"/>
        <v>7622</v>
      </c>
      <c r="Q34" s="17">
        <f t="shared" si="1"/>
        <v>1.0754903344151263</v>
      </c>
      <c r="R34" s="11"/>
      <c r="T34" s="12"/>
    </row>
    <row r="35" spans="1:20" ht="14.25" customHeight="1" x14ac:dyDescent="0.25">
      <c r="A35" s="13">
        <v>30</v>
      </c>
      <c r="B35" s="14" t="s">
        <v>53</v>
      </c>
      <c r="C35" s="15">
        <v>3738</v>
      </c>
      <c r="D35" s="15">
        <v>348</v>
      </c>
      <c r="E35" s="15">
        <v>670</v>
      </c>
      <c r="F35" s="15">
        <v>639</v>
      </c>
      <c r="G35" s="15">
        <v>514</v>
      </c>
      <c r="H35" s="15">
        <v>334</v>
      </c>
      <c r="I35" s="15">
        <v>187</v>
      </c>
      <c r="J35" s="15">
        <v>763</v>
      </c>
      <c r="K35" s="15">
        <v>171</v>
      </c>
      <c r="L35" s="16">
        <v>51</v>
      </c>
      <c r="M35" s="15"/>
      <c r="N35" s="15"/>
      <c r="O35" s="15"/>
      <c r="P35" s="15">
        <f t="shared" si="0"/>
        <v>3677</v>
      </c>
      <c r="Q35" s="17">
        <f t="shared" si="1"/>
        <v>0.98368111289459603</v>
      </c>
      <c r="R35" s="11"/>
      <c r="T35" s="12"/>
    </row>
    <row r="36" spans="1:20" ht="14.25" customHeight="1" x14ac:dyDescent="0.25">
      <c r="A36" s="13">
        <v>31</v>
      </c>
      <c r="B36" s="14" t="s">
        <v>54</v>
      </c>
      <c r="C36" s="15">
        <v>15340</v>
      </c>
      <c r="D36" s="15">
        <v>3283</v>
      </c>
      <c r="E36" s="15">
        <v>2199</v>
      </c>
      <c r="F36" s="15">
        <v>1992</v>
      </c>
      <c r="G36" s="15">
        <v>1370</v>
      </c>
      <c r="H36" s="15">
        <v>1429</v>
      </c>
      <c r="I36" s="15">
        <v>1990</v>
      </c>
      <c r="J36" s="15">
        <v>1857</v>
      </c>
      <c r="K36" s="15">
        <v>1987</v>
      </c>
      <c r="L36" s="16">
        <v>1182</v>
      </c>
      <c r="M36" s="15"/>
      <c r="N36" s="15"/>
      <c r="O36" s="15"/>
      <c r="P36" s="15">
        <f t="shared" si="0"/>
        <v>17289</v>
      </c>
      <c r="Q36" s="17">
        <f t="shared" si="1"/>
        <v>1.1270534550195568</v>
      </c>
      <c r="R36" s="11"/>
      <c r="T36" s="12"/>
    </row>
    <row r="37" spans="1:20" ht="14.25" customHeight="1" x14ac:dyDescent="0.25">
      <c r="A37" s="13">
        <v>32</v>
      </c>
      <c r="B37" s="14" t="s">
        <v>55</v>
      </c>
      <c r="C37" s="15">
        <v>5644</v>
      </c>
      <c r="D37" s="15">
        <v>1130</v>
      </c>
      <c r="E37" s="15">
        <v>749</v>
      </c>
      <c r="F37" s="15">
        <v>641</v>
      </c>
      <c r="G37" s="15">
        <v>397</v>
      </c>
      <c r="H37" s="15">
        <v>447</v>
      </c>
      <c r="I37" s="15">
        <v>417</v>
      </c>
      <c r="J37" s="15">
        <v>529</v>
      </c>
      <c r="K37" s="15">
        <v>1029</v>
      </c>
      <c r="L37" s="16">
        <v>373</v>
      </c>
      <c r="M37" s="15"/>
      <c r="N37" s="15"/>
      <c r="O37" s="15"/>
      <c r="P37" s="15">
        <f t="shared" si="0"/>
        <v>5712</v>
      </c>
      <c r="Q37" s="17">
        <f t="shared" si="1"/>
        <v>1.0120481927710843</v>
      </c>
      <c r="R37" s="11"/>
      <c r="T37" s="12"/>
    </row>
    <row r="38" spans="1:20" ht="14.25" customHeight="1" x14ac:dyDescent="0.25">
      <c r="A38" s="13">
        <v>33</v>
      </c>
      <c r="B38" s="14" t="s">
        <v>56</v>
      </c>
      <c r="C38" s="15">
        <v>16379</v>
      </c>
      <c r="D38" s="15">
        <v>1773</v>
      </c>
      <c r="E38" s="15">
        <v>2105</v>
      </c>
      <c r="F38" s="15">
        <v>1820</v>
      </c>
      <c r="G38" s="15">
        <v>2264</v>
      </c>
      <c r="H38" s="15">
        <v>2269</v>
      </c>
      <c r="I38" s="15">
        <v>2072</v>
      </c>
      <c r="J38" s="15">
        <v>1480</v>
      </c>
      <c r="K38" s="15">
        <v>2165</v>
      </c>
      <c r="L38" s="16">
        <v>2164</v>
      </c>
      <c r="M38" s="15"/>
      <c r="N38" s="15"/>
      <c r="O38" s="15"/>
      <c r="P38" s="15">
        <f t="shared" si="0"/>
        <v>18112</v>
      </c>
      <c r="Q38" s="17">
        <f t="shared" si="1"/>
        <v>1.1058062152756578</v>
      </c>
      <c r="R38" s="11"/>
      <c r="T38" s="12"/>
    </row>
    <row r="39" spans="1:20" ht="14.25" customHeight="1" x14ac:dyDescent="0.25">
      <c r="A39" s="13">
        <v>34</v>
      </c>
      <c r="B39" s="14" t="s">
        <v>57</v>
      </c>
      <c r="C39" s="15">
        <v>16070</v>
      </c>
      <c r="D39" s="15">
        <v>1919</v>
      </c>
      <c r="E39" s="15">
        <v>2424</v>
      </c>
      <c r="F39" s="15">
        <v>4291</v>
      </c>
      <c r="G39" s="15">
        <v>422</v>
      </c>
      <c r="H39" s="15">
        <v>1791</v>
      </c>
      <c r="I39" s="15">
        <v>2142</v>
      </c>
      <c r="J39" s="15">
        <v>2221</v>
      </c>
      <c r="K39" s="15">
        <v>2040</v>
      </c>
      <c r="L39" s="16">
        <v>1487</v>
      </c>
      <c r="M39" s="15"/>
      <c r="N39" s="15"/>
      <c r="O39" s="15"/>
      <c r="P39" s="15">
        <f t="shared" si="0"/>
        <v>18737</v>
      </c>
      <c r="Q39" s="17">
        <f t="shared" si="1"/>
        <v>1.1659614187927816</v>
      </c>
      <c r="R39" s="11"/>
      <c r="T39" s="12"/>
    </row>
    <row r="40" spans="1:20" ht="14.25" customHeight="1" x14ac:dyDescent="0.25">
      <c r="A40" s="13">
        <v>35</v>
      </c>
      <c r="B40" s="14" t="s">
        <v>58</v>
      </c>
      <c r="C40" s="15">
        <v>13061</v>
      </c>
      <c r="D40" s="15">
        <v>1552</v>
      </c>
      <c r="E40" s="15">
        <v>1958</v>
      </c>
      <c r="F40" s="15">
        <v>2055</v>
      </c>
      <c r="G40" s="15">
        <v>1571</v>
      </c>
      <c r="H40" s="15">
        <v>1870</v>
      </c>
      <c r="I40" s="15">
        <v>1598</v>
      </c>
      <c r="J40" s="15">
        <v>1261</v>
      </c>
      <c r="K40" s="15">
        <v>2066</v>
      </c>
      <c r="L40" s="16">
        <v>1238</v>
      </c>
      <c r="M40" s="15"/>
      <c r="N40" s="15"/>
      <c r="O40" s="15"/>
      <c r="P40" s="15">
        <f t="shared" si="0"/>
        <v>15169</v>
      </c>
      <c r="Q40" s="17">
        <f t="shared" si="1"/>
        <v>1.1613965240027564</v>
      </c>
      <c r="R40" s="11"/>
      <c r="T40" s="12"/>
    </row>
    <row r="41" spans="1:20" ht="14.25" customHeight="1" x14ac:dyDescent="0.25">
      <c r="A41" s="13">
        <v>36</v>
      </c>
      <c r="B41" s="14" t="s">
        <v>59</v>
      </c>
      <c r="C41" s="15">
        <v>18173</v>
      </c>
      <c r="D41" s="15">
        <v>2574</v>
      </c>
      <c r="E41" s="15">
        <v>2827</v>
      </c>
      <c r="F41" s="15">
        <v>1860</v>
      </c>
      <c r="G41" s="15">
        <v>2319</v>
      </c>
      <c r="H41" s="15">
        <v>1504</v>
      </c>
      <c r="I41" s="15">
        <v>1958</v>
      </c>
      <c r="J41" s="15">
        <v>2238</v>
      </c>
      <c r="K41" s="15">
        <v>3530</v>
      </c>
      <c r="L41" s="16">
        <v>1147</v>
      </c>
      <c r="M41" s="15"/>
      <c r="N41" s="15"/>
      <c r="O41" s="15"/>
      <c r="P41" s="15">
        <f t="shared" si="0"/>
        <v>19957</v>
      </c>
      <c r="Q41" s="17">
        <f t="shared" si="1"/>
        <v>1.0981676112914764</v>
      </c>
      <c r="R41" s="11"/>
      <c r="T41" s="12"/>
    </row>
    <row r="42" spans="1:20" ht="14.25" customHeight="1" x14ac:dyDescent="0.25">
      <c r="A42" s="13">
        <v>37</v>
      </c>
      <c r="B42" s="14" t="s">
        <v>60</v>
      </c>
      <c r="C42" s="15">
        <v>6501</v>
      </c>
      <c r="D42" s="15">
        <v>855</v>
      </c>
      <c r="E42" s="15">
        <v>1040</v>
      </c>
      <c r="F42" s="15">
        <v>798</v>
      </c>
      <c r="G42" s="15">
        <v>888</v>
      </c>
      <c r="H42" s="15">
        <v>639</v>
      </c>
      <c r="I42" s="15">
        <v>700</v>
      </c>
      <c r="J42" s="15">
        <v>679</v>
      </c>
      <c r="K42" s="15">
        <v>584</v>
      </c>
      <c r="L42" s="16">
        <v>299</v>
      </c>
      <c r="M42" s="15"/>
      <c r="N42" s="15"/>
      <c r="O42" s="15"/>
      <c r="P42" s="15">
        <f t="shared" si="0"/>
        <v>6482</v>
      </c>
      <c r="Q42" s="17">
        <f t="shared" si="1"/>
        <v>0.99707737271189045</v>
      </c>
      <c r="R42" s="11"/>
      <c r="T42" s="12"/>
    </row>
    <row r="43" spans="1:20" ht="14.25" customHeight="1" x14ac:dyDescent="0.25">
      <c r="A43" s="13">
        <v>38</v>
      </c>
      <c r="B43" s="14" t="s">
        <v>61</v>
      </c>
      <c r="C43" s="15">
        <v>15034</v>
      </c>
      <c r="D43" s="15">
        <v>1326</v>
      </c>
      <c r="E43" s="15">
        <v>2191</v>
      </c>
      <c r="F43" s="15">
        <v>3008</v>
      </c>
      <c r="G43" s="15">
        <v>1331</v>
      </c>
      <c r="H43" s="15">
        <v>1237</v>
      </c>
      <c r="I43" s="15">
        <v>2447</v>
      </c>
      <c r="J43" s="15">
        <v>2240</v>
      </c>
      <c r="K43" s="15">
        <v>1522</v>
      </c>
      <c r="L43" s="16">
        <v>1181</v>
      </c>
      <c r="M43" s="15"/>
      <c r="N43" s="15"/>
      <c r="O43" s="15"/>
      <c r="P43" s="15">
        <f t="shared" si="0"/>
        <v>16483</v>
      </c>
      <c r="Q43" s="17">
        <f t="shared" si="1"/>
        <v>1.0963815351869097</v>
      </c>
      <c r="R43" s="11"/>
      <c r="T43" s="12"/>
    </row>
    <row r="44" spans="1:20" ht="14.25" customHeight="1" x14ac:dyDescent="0.25">
      <c r="A44" s="13">
        <v>39</v>
      </c>
      <c r="B44" s="14" t="s">
        <v>62</v>
      </c>
      <c r="C44" s="15">
        <v>7788</v>
      </c>
      <c r="D44" s="15">
        <v>937</v>
      </c>
      <c r="E44" s="15">
        <v>2529</v>
      </c>
      <c r="F44" s="15">
        <v>860</v>
      </c>
      <c r="G44" s="15">
        <v>929</v>
      </c>
      <c r="H44" s="15">
        <v>629</v>
      </c>
      <c r="I44" s="15">
        <v>928</v>
      </c>
      <c r="J44" s="15">
        <v>1296</v>
      </c>
      <c r="K44" s="15">
        <v>953</v>
      </c>
      <c r="L44" s="16">
        <v>344</v>
      </c>
      <c r="M44" s="15"/>
      <c r="N44" s="15"/>
      <c r="O44" s="15"/>
      <c r="P44" s="15">
        <f t="shared" si="0"/>
        <v>9405</v>
      </c>
      <c r="Q44" s="17">
        <f t="shared" si="1"/>
        <v>1.2076271186440677</v>
      </c>
      <c r="R44" s="11"/>
      <c r="T44" s="12"/>
    </row>
    <row r="45" spans="1:20" ht="14.25" customHeight="1" x14ac:dyDescent="0.25">
      <c r="A45" s="13">
        <v>40</v>
      </c>
      <c r="B45" s="14" t="s">
        <v>63</v>
      </c>
      <c r="C45" s="15">
        <v>24609</v>
      </c>
      <c r="D45" s="15">
        <v>2974</v>
      </c>
      <c r="E45" s="15">
        <v>4991</v>
      </c>
      <c r="F45" s="15">
        <v>4287</v>
      </c>
      <c r="G45" s="15">
        <v>2943</v>
      </c>
      <c r="H45" s="15">
        <v>2392</v>
      </c>
      <c r="I45" s="15">
        <v>2398</v>
      </c>
      <c r="J45" s="15">
        <v>4631</v>
      </c>
      <c r="K45" s="15">
        <v>3231</v>
      </c>
      <c r="L45" s="16">
        <v>1231</v>
      </c>
      <c r="M45" s="15"/>
      <c r="N45" s="15"/>
      <c r="O45" s="15"/>
      <c r="P45" s="15">
        <f t="shared" si="0"/>
        <v>29078</v>
      </c>
      <c r="Q45" s="17">
        <f t="shared" si="1"/>
        <v>1.1816002275590232</v>
      </c>
      <c r="R45" s="11"/>
      <c r="T45" s="12"/>
    </row>
    <row r="46" spans="1:20" ht="14.25" customHeight="1" x14ac:dyDescent="0.25">
      <c r="A46" s="13">
        <v>41</v>
      </c>
      <c r="B46" s="14" t="s">
        <v>64</v>
      </c>
      <c r="C46" s="15">
        <v>22446</v>
      </c>
      <c r="D46" s="15">
        <v>2494</v>
      </c>
      <c r="E46" s="15">
        <v>3488</v>
      </c>
      <c r="F46" s="15">
        <v>3896</v>
      </c>
      <c r="G46" s="15">
        <v>2407</v>
      </c>
      <c r="H46" s="15">
        <v>3883</v>
      </c>
      <c r="I46" s="15">
        <v>2210</v>
      </c>
      <c r="J46" s="15">
        <v>2606</v>
      </c>
      <c r="K46" s="15">
        <v>2407</v>
      </c>
      <c r="L46" s="16">
        <v>2835</v>
      </c>
      <c r="M46" s="15"/>
      <c r="N46" s="15"/>
      <c r="O46" s="15"/>
      <c r="P46" s="15">
        <f t="shared" si="0"/>
        <v>26226</v>
      </c>
      <c r="Q46" s="17">
        <f t="shared" si="1"/>
        <v>1.1684041700080192</v>
      </c>
      <c r="R46" s="11"/>
      <c r="T46" s="12"/>
    </row>
    <row r="47" spans="1:20" ht="14.25" customHeight="1" x14ac:dyDescent="0.25">
      <c r="A47" s="18">
        <v>42</v>
      </c>
      <c r="B47" s="19" t="s">
        <v>65</v>
      </c>
      <c r="C47" s="20">
        <v>12436</v>
      </c>
      <c r="D47" s="20">
        <v>590</v>
      </c>
      <c r="E47" s="20">
        <v>3454</v>
      </c>
      <c r="F47" s="20">
        <v>1212</v>
      </c>
      <c r="G47" s="20">
        <v>1246</v>
      </c>
      <c r="H47" s="20">
        <v>1606</v>
      </c>
      <c r="I47" s="20">
        <v>1149</v>
      </c>
      <c r="J47" s="20">
        <v>1265</v>
      </c>
      <c r="K47" s="20">
        <v>1764</v>
      </c>
      <c r="L47" s="21">
        <v>1071</v>
      </c>
      <c r="M47" s="20"/>
      <c r="N47" s="20"/>
      <c r="O47" s="20"/>
      <c r="P47" s="20">
        <f t="shared" si="0"/>
        <v>13357</v>
      </c>
      <c r="Q47" s="22">
        <f t="shared" si="1"/>
        <v>1.0740591830170474</v>
      </c>
      <c r="R47" s="11"/>
      <c r="T47" s="12"/>
    </row>
    <row r="48" spans="1:20" ht="14.25" customHeight="1" x14ac:dyDescent="0.25">
      <c r="A48" s="88" t="s">
        <v>66</v>
      </c>
      <c r="B48" s="89"/>
      <c r="C48" s="23">
        <f t="shared" ref="C48:P48" si="2">SUM(C6:C47)</f>
        <v>707237</v>
      </c>
      <c r="D48" s="24">
        <f t="shared" si="2"/>
        <v>78308</v>
      </c>
      <c r="E48" s="24">
        <f t="shared" si="2"/>
        <v>94086</v>
      </c>
      <c r="F48" s="24">
        <f t="shared" si="2"/>
        <v>88530</v>
      </c>
      <c r="G48" s="24">
        <f t="shared" si="2"/>
        <v>64348</v>
      </c>
      <c r="H48" s="24">
        <f t="shared" si="2"/>
        <v>68002</v>
      </c>
      <c r="I48" s="24">
        <f t="shared" si="2"/>
        <v>80875</v>
      </c>
      <c r="J48" s="24">
        <f t="shared" si="2"/>
        <v>87519</v>
      </c>
      <c r="K48" s="24">
        <f t="shared" si="2"/>
        <v>77984</v>
      </c>
      <c r="L48" s="24">
        <f t="shared" si="2"/>
        <v>61778</v>
      </c>
      <c r="M48" s="24">
        <f t="shared" si="2"/>
        <v>0</v>
      </c>
      <c r="N48" s="24">
        <f t="shared" si="2"/>
        <v>0</v>
      </c>
      <c r="O48" s="24">
        <f t="shared" si="2"/>
        <v>0</v>
      </c>
      <c r="P48" s="24">
        <f t="shared" si="2"/>
        <v>701430</v>
      </c>
      <c r="Q48" s="25">
        <f t="shared" si="1"/>
        <v>0.99178917392613797</v>
      </c>
      <c r="T48" s="12"/>
    </row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3">
    <mergeCell ref="A1:Q1"/>
    <mergeCell ref="A2:Q2"/>
    <mergeCell ref="A4:A5"/>
    <mergeCell ref="B4:B5"/>
    <mergeCell ref="C4:C5"/>
    <mergeCell ref="D4:O4"/>
    <mergeCell ref="P4:P5"/>
    <mergeCell ref="A48:B48"/>
    <mergeCell ref="U6:U8"/>
    <mergeCell ref="U9:U10"/>
    <mergeCell ref="V9:V10"/>
    <mergeCell ref="W9:W10"/>
    <mergeCell ref="X9:X10"/>
    <mergeCell ref="Y9:Y10"/>
    <mergeCell ref="Z9:Z10"/>
    <mergeCell ref="AA9:AA10"/>
    <mergeCell ref="Q4:Q5"/>
    <mergeCell ref="V6:V8"/>
    <mergeCell ref="W6:W8"/>
    <mergeCell ref="X6:X8"/>
    <mergeCell ref="Y6:Y8"/>
    <mergeCell ref="Z6:Z8"/>
    <mergeCell ref="AA6:AA8"/>
  </mergeCells>
  <printOptions horizontalCentered="1" verticalCentered="1"/>
  <pageMargins left="0.70866141732283472" right="0.70866141732283472" top="0.74803149606299213" bottom="0.74803149606299213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AA1000"/>
  <sheetViews>
    <sheetView topLeftCell="A25" workbookViewId="0">
      <selection activeCell="Y19" sqref="Y19"/>
    </sheetView>
  </sheetViews>
  <sheetFormatPr defaultColWidth="14.42578125" defaultRowHeight="15" customHeight="1" x14ac:dyDescent="0.25"/>
  <cols>
    <col min="1" max="1" width="4.140625" customWidth="1"/>
    <col min="2" max="3" width="15.85546875" customWidth="1"/>
    <col min="4" max="16" width="12.85546875" customWidth="1"/>
    <col min="17" max="17" width="12.28515625" customWidth="1"/>
    <col min="18" max="20" width="8.7109375" customWidth="1"/>
    <col min="21" max="27" width="16" customWidth="1"/>
  </cols>
  <sheetData>
    <row r="1" spans="1:27" ht="14.25" customHeight="1" x14ac:dyDescent="0.25">
      <c r="A1" s="92" t="s">
        <v>67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</row>
    <row r="2" spans="1:27" ht="14.25" customHeight="1" x14ac:dyDescent="0.25">
      <c r="A2" s="92" t="s">
        <v>2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</row>
    <row r="3" spans="1:27" ht="14.2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27" ht="14.25" customHeight="1" x14ac:dyDescent="0.25">
      <c r="A4" s="85" t="s">
        <v>3</v>
      </c>
      <c r="B4" s="85" t="s">
        <v>4</v>
      </c>
      <c r="C4" s="94" t="s">
        <v>68</v>
      </c>
      <c r="D4" s="95" t="s">
        <v>6</v>
      </c>
      <c r="E4" s="96"/>
      <c r="F4" s="96"/>
      <c r="G4" s="96"/>
      <c r="H4" s="96"/>
      <c r="I4" s="96"/>
      <c r="J4" s="96"/>
      <c r="K4" s="96"/>
      <c r="L4" s="96"/>
      <c r="M4" s="96"/>
      <c r="N4" s="96"/>
      <c r="O4" s="89"/>
      <c r="P4" s="94" t="s">
        <v>7</v>
      </c>
      <c r="Q4" s="85" t="s">
        <v>8</v>
      </c>
    </row>
    <row r="5" spans="1:27" ht="25.5" customHeight="1" x14ac:dyDescent="0.25">
      <c r="A5" s="83"/>
      <c r="B5" s="83"/>
      <c r="C5" s="83"/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4" t="s">
        <v>14</v>
      </c>
      <c r="J5" s="3" t="s">
        <v>15</v>
      </c>
      <c r="K5" s="3" t="s">
        <v>16</v>
      </c>
      <c r="L5" s="3" t="s">
        <v>0</v>
      </c>
      <c r="M5" s="3" t="s">
        <v>17</v>
      </c>
      <c r="N5" s="3" t="s">
        <v>18</v>
      </c>
      <c r="O5" s="3" t="s">
        <v>19</v>
      </c>
      <c r="P5" s="83"/>
      <c r="Q5" s="83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4.25" customHeight="1" x14ac:dyDescent="0.25">
      <c r="A6" s="6">
        <v>1</v>
      </c>
      <c r="B6" s="7" t="s">
        <v>20</v>
      </c>
      <c r="C6" s="26">
        <v>4514</v>
      </c>
      <c r="D6" s="26">
        <v>833</v>
      </c>
      <c r="E6" s="26">
        <v>2060</v>
      </c>
      <c r="F6" s="26">
        <v>1013</v>
      </c>
      <c r="G6" s="26">
        <v>1013</v>
      </c>
      <c r="H6" s="26">
        <v>1346</v>
      </c>
      <c r="I6" s="26">
        <v>1306</v>
      </c>
      <c r="J6" s="26">
        <v>446</v>
      </c>
      <c r="K6" s="26">
        <v>510</v>
      </c>
      <c r="L6" s="9">
        <v>207</v>
      </c>
      <c r="M6" s="26"/>
      <c r="N6" s="26"/>
      <c r="O6" s="26"/>
      <c r="P6" s="26">
        <f t="shared" ref="P6:P47" si="0">SUM(D6:O6)</f>
        <v>8734</v>
      </c>
      <c r="Q6" s="10">
        <f t="shared" ref="Q6:Q48" si="1">IFERROR(P6/C6,0)</f>
        <v>1.9348692955250333</v>
      </c>
      <c r="S6" s="27"/>
      <c r="T6" s="12"/>
      <c r="U6" s="90"/>
      <c r="V6" s="86"/>
      <c r="W6" s="86"/>
      <c r="X6" s="86"/>
      <c r="Y6" s="86"/>
      <c r="Z6" s="86"/>
      <c r="AA6" s="86"/>
    </row>
    <row r="7" spans="1:27" ht="14.25" customHeight="1" x14ac:dyDescent="0.25">
      <c r="A7" s="13">
        <v>2</v>
      </c>
      <c r="B7" s="14" t="s">
        <v>25</v>
      </c>
      <c r="C7" s="28">
        <v>7452</v>
      </c>
      <c r="D7" s="28">
        <v>801</v>
      </c>
      <c r="E7" s="28">
        <v>80</v>
      </c>
      <c r="F7" s="28">
        <v>0</v>
      </c>
      <c r="G7" s="28">
        <v>185</v>
      </c>
      <c r="H7" s="28">
        <v>55</v>
      </c>
      <c r="I7" s="28">
        <v>17</v>
      </c>
      <c r="J7" s="28">
        <v>171</v>
      </c>
      <c r="K7" s="28">
        <v>0</v>
      </c>
      <c r="L7" s="16">
        <v>284</v>
      </c>
      <c r="M7" s="28"/>
      <c r="N7" s="28"/>
      <c r="O7" s="28"/>
      <c r="P7" s="28">
        <f t="shared" si="0"/>
        <v>1593</v>
      </c>
      <c r="Q7" s="17">
        <f t="shared" si="1"/>
        <v>0.21376811594202899</v>
      </c>
      <c r="S7" s="27"/>
      <c r="T7" s="12"/>
      <c r="U7" s="87"/>
      <c r="V7" s="87"/>
      <c r="W7" s="87"/>
      <c r="X7" s="87"/>
      <c r="Y7" s="87"/>
      <c r="Z7" s="87"/>
      <c r="AA7" s="87"/>
    </row>
    <row r="8" spans="1:27" ht="14.25" customHeight="1" x14ac:dyDescent="0.25">
      <c r="A8" s="13">
        <v>3</v>
      </c>
      <c r="B8" s="14" t="s">
        <v>26</v>
      </c>
      <c r="C8" s="28">
        <v>5669</v>
      </c>
      <c r="D8" s="28">
        <v>979</v>
      </c>
      <c r="E8" s="28">
        <v>1964</v>
      </c>
      <c r="F8" s="28">
        <v>671</v>
      </c>
      <c r="G8" s="28">
        <v>1179</v>
      </c>
      <c r="H8" s="28">
        <v>781</v>
      </c>
      <c r="I8" s="28">
        <v>1057</v>
      </c>
      <c r="J8" s="28">
        <v>666</v>
      </c>
      <c r="K8" s="28">
        <v>330</v>
      </c>
      <c r="L8" s="16">
        <v>318</v>
      </c>
      <c r="M8" s="28"/>
      <c r="N8" s="28"/>
      <c r="O8" s="28"/>
      <c r="P8" s="28">
        <f t="shared" si="0"/>
        <v>7945</v>
      </c>
      <c r="Q8" s="17">
        <f t="shared" si="1"/>
        <v>1.4014817428117834</v>
      </c>
      <c r="S8" s="27"/>
      <c r="T8" s="12"/>
      <c r="U8" s="83"/>
      <c r="V8" s="83"/>
      <c r="W8" s="83"/>
      <c r="X8" s="83"/>
      <c r="Y8" s="83"/>
      <c r="Z8" s="83"/>
      <c r="AA8" s="83"/>
    </row>
    <row r="9" spans="1:27" ht="14.25" customHeight="1" x14ac:dyDescent="0.25">
      <c r="A9" s="13">
        <v>4</v>
      </c>
      <c r="B9" s="14" t="s">
        <v>27</v>
      </c>
      <c r="C9" s="28">
        <v>2458</v>
      </c>
      <c r="D9" s="28">
        <v>350</v>
      </c>
      <c r="E9" s="28">
        <v>927</v>
      </c>
      <c r="F9" s="28">
        <v>5639</v>
      </c>
      <c r="G9" s="28">
        <v>1708</v>
      </c>
      <c r="H9" s="28">
        <v>1625</v>
      </c>
      <c r="I9" s="28">
        <v>54</v>
      </c>
      <c r="J9" s="28">
        <v>1053</v>
      </c>
      <c r="K9" s="28">
        <v>1631</v>
      </c>
      <c r="L9" s="16">
        <v>0</v>
      </c>
      <c r="M9" s="28"/>
      <c r="N9" s="28"/>
      <c r="O9" s="28"/>
      <c r="P9" s="28">
        <f t="shared" si="0"/>
        <v>12987</v>
      </c>
      <c r="Q9" s="17">
        <f t="shared" si="1"/>
        <v>5.2835638730675347</v>
      </c>
      <c r="S9" s="27"/>
      <c r="T9" s="12"/>
      <c r="U9" s="91"/>
      <c r="V9" s="84"/>
      <c r="W9" s="84"/>
      <c r="X9" s="82"/>
      <c r="Y9" s="84"/>
      <c r="Z9" s="84"/>
      <c r="AA9" s="82"/>
    </row>
    <row r="10" spans="1:27" ht="14.25" customHeight="1" x14ac:dyDescent="0.25">
      <c r="A10" s="13">
        <v>5</v>
      </c>
      <c r="B10" s="14" t="s">
        <v>28</v>
      </c>
      <c r="C10" s="28">
        <v>703</v>
      </c>
      <c r="D10" s="28">
        <v>23</v>
      </c>
      <c r="E10" s="28">
        <v>27</v>
      </c>
      <c r="F10" s="28">
        <v>361</v>
      </c>
      <c r="G10" s="28">
        <v>16</v>
      </c>
      <c r="H10" s="28">
        <v>128</v>
      </c>
      <c r="I10" s="28">
        <v>74</v>
      </c>
      <c r="J10" s="28">
        <v>161</v>
      </c>
      <c r="K10" s="28">
        <v>93</v>
      </c>
      <c r="L10" s="16">
        <v>121</v>
      </c>
      <c r="M10" s="28"/>
      <c r="N10" s="28"/>
      <c r="O10" s="28"/>
      <c r="P10" s="28">
        <f t="shared" si="0"/>
        <v>1004</v>
      </c>
      <c r="Q10" s="17">
        <f t="shared" si="1"/>
        <v>1.4281650071123755</v>
      </c>
      <c r="S10" s="27"/>
      <c r="T10" s="12"/>
      <c r="U10" s="83"/>
      <c r="V10" s="83"/>
      <c r="W10" s="83"/>
      <c r="X10" s="83"/>
      <c r="Y10" s="83"/>
      <c r="Z10" s="83"/>
      <c r="AA10" s="83"/>
    </row>
    <row r="11" spans="1:27" ht="14.25" customHeight="1" x14ac:dyDescent="0.25">
      <c r="A11" s="13">
        <v>6</v>
      </c>
      <c r="B11" s="14" t="s">
        <v>29</v>
      </c>
      <c r="C11" s="28">
        <v>2845</v>
      </c>
      <c r="D11" s="28">
        <v>130</v>
      </c>
      <c r="E11" s="28">
        <v>1038</v>
      </c>
      <c r="F11" s="28">
        <v>3378</v>
      </c>
      <c r="G11" s="28">
        <v>236</v>
      </c>
      <c r="H11" s="28">
        <v>291</v>
      </c>
      <c r="I11" s="28">
        <v>324</v>
      </c>
      <c r="J11" s="28">
        <v>220</v>
      </c>
      <c r="K11" s="28">
        <v>176</v>
      </c>
      <c r="L11" s="16">
        <v>163</v>
      </c>
      <c r="M11" s="28"/>
      <c r="N11" s="28"/>
      <c r="O11" s="28"/>
      <c r="P11" s="28">
        <f t="shared" si="0"/>
        <v>5956</v>
      </c>
      <c r="Q11" s="17">
        <f t="shared" si="1"/>
        <v>2.0934973637961334</v>
      </c>
      <c r="S11" s="27"/>
      <c r="T11" s="12"/>
    </row>
    <row r="12" spans="1:27" ht="14.25" customHeight="1" x14ac:dyDescent="0.25">
      <c r="A12" s="13">
        <v>7</v>
      </c>
      <c r="B12" s="14" t="s">
        <v>30</v>
      </c>
      <c r="C12" s="28">
        <v>3109</v>
      </c>
      <c r="D12" s="28">
        <v>282</v>
      </c>
      <c r="E12" s="28">
        <v>192</v>
      </c>
      <c r="F12" s="28">
        <v>1757</v>
      </c>
      <c r="G12" s="28">
        <v>450</v>
      </c>
      <c r="H12" s="28">
        <v>767</v>
      </c>
      <c r="I12" s="28">
        <v>483</v>
      </c>
      <c r="J12" s="28">
        <v>149</v>
      </c>
      <c r="K12" s="28">
        <v>175</v>
      </c>
      <c r="L12" s="16">
        <v>295</v>
      </c>
      <c r="M12" s="28"/>
      <c r="N12" s="28"/>
      <c r="O12" s="28"/>
      <c r="P12" s="28">
        <f t="shared" si="0"/>
        <v>4550</v>
      </c>
      <c r="Q12" s="17">
        <f t="shared" si="1"/>
        <v>1.4634930845931167</v>
      </c>
      <c r="S12" s="27"/>
      <c r="T12" s="12"/>
      <c r="V12" s="12"/>
      <c r="W12" s="12"/>
      <c r="X12" s="12"/>
      <c r="Y12" s="12"/>
      <c r="Z12" s="12"/>
      <c r="AA12" s="12"/>
    </row>
    <row r="13" spans="1:27" ht="14.25" customHeight="1" x14ac:dyDescent="0.25">
      <c r="A13" s="13">
        <v>8</v>
      </c>
      <c r="B13" s="14" t="s">
        <v>31</v>
      </c>
      <c r="C13" s="28">
        <v>0</v>
      </c>
      <c r="D13" s="28">
        <v>6</v>
      </c>
      <c r="E13" s="28">
        <v>6</v>
      </c>
      <c r="F13" s="28">
        <v>4</v>
      </c>
      <c r="G13" s="28">
        <v>102</v>
      </c>
      <c r="H13" s="28">
        <v>11</v>
      </c>
      <c r="I13" s="28">
        <v>85</v>
      </c>
      <c r="J13" s="28">
        <v>52</v>
      </c>
      <c r="K13" s="28">
        <v>13</v>
      </c>
      <c r="L13" s="16">
        <v>41</v>
      </c>
      <c r="M13" s="28"/>
      <c r="N13" s="28"/>
      <c r="O13" s="28"/>
      <c r="P13" s="28">
        <f t="shared" si="0"/>
        <v>320</v>
      </c>
      <c r="Q13" s="17">
        <f t="shared" si="1"/>
        <v>0</v>
      </c>
      <c r="S13" s="27"/>
      <c r="T13" s="12"/>
    </row>
    <row r="14" spans="1:27" ht="14.25" customHeight="1" x14ac:dyDescent="0.25">
      <c r="A14" s="13">
        <v>9</v>
      </c>
      <c r="B14" s="14" t="s">
        <v>32</v>
      </c>
      <c r="C14" s="28">
        <v>15</v>
      </c>
      <c r="D14" s="28">
        <v>27</v>
      </c>
      <c r="E14" s="28">
        <v>0</v>
      </c>
      <c r="F14" s="28">
        <v>0</v>
      </c>
      <c r="G14" s="28">
        <v>0</v>
      </c>
      <c r="H14" s="28">
        <v>165</v>
      </c>
      <c r="I14" s="28">
        <v>0</v>
      </c>
      <c r="J14" s="28">
        <v>0</v>
      </c>
      <c r="K14" s="28">
        <v>123</v>
      </c>
      <c r="L14" s="16">
        <v>32</v>
      </c>
      <c r="M14" s="28"/>
      <c r="N14" s="28"/>
      <c r="O14" s="28"/>
      <c r="P14" s="28">
        <f t="shared" si="0"/>
        <v>347</v>
      </c>
      <c r="Q14" s="17">
        <f t="shared" si="1"/>
        <v>23.133333333333333</v>
      </c>
      <c r="S14" s="27"/>
      <c r="T14" s="12"/>
    </row>
    <row r="15" spans="1:27" ht="14.25" customHeight="1" x14ac:dyDescent="0.25">
      <c r="A15" s="13">
        <v>10</v>
      </c>
      <c r="B15" s="14" t="s">
        <v>33</v>
      </c>
      <c r="C15" s="28">
        <v>101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1</v>
      </c>
      <c r="J15" s="28">
        <v>14</v>
      </c>
      <c r="K15" s="28">
        <v>0</v>
      </c>
      <c r="L15" s="16">
        <v>0</v>
      </c>
      <c r="M15" s="28"/>
      <c r="N15" s="28"/>
      <c r="O15" s="28"/>
      <c r="P15" s="28">
        <f t="shared" si="0"/>
        <v>15</v>
      </c>
      <c r="Q15" s="17">
        <f t="shared" si="1"/>
        <v>0.14851485148514851</v>
      </c>
      <c r="S15" s="27"/>
      <c r="T15" s="12"/>
    </row>
    <row r="16" spans="1:27" ht="14.25" customHeight="1" x14ac:dyDescent="0.25">
      <c r="A16" s="13">
        <v>11</v>
      </c>
      <c r="B16" s="14" t="s">
        <v>34</v>
      </c>
      <c r="C16" s="28">
        <v>72</v>
      </c>
      <c r="D16" s="28">
        <v>18</v>
      </c>
      <c r="E16" s="28">
        <v>77</v>
      </c>
      <c r="F16" s="28">
        <v>8</v>
      </c>
      <c r="G16" s="28">
        <v>5</v>
      </c>
      <c r="H16" s="28">
        <v>144</v>
      </c>
      <c r="I16" s="28">
        <v>112</v>
      </c>
      <c r="J16" s="28">
        <v>7</v>
      </c>
      <c r="K16" s="28">
        <v>117</v>
      </c>
      <c r="L16" s="16">
        <v>0</v>
      </c>
      <c r="M16" s="28"/>
      <c r="N16" s="28"/>
      <c r="O16" s="28"/>
      <c r="P16" s="28">
        <f t="shared" si="0"/>
        <v>488</v>
      </c>
      <c r="Q16" s="17">
        <f t="shared" si="1"/>
        <v>6.7777777777777777</v>
      </c>
      <c r="S16" s="27"/>
      <c r="T16" s="12"/>
    </row>
    <row r="17" spans="1:20" ht="14.25" customHeight="1" x14ac:dyDescent="0.25">
      <c r="A17" s="13">
        <v>12</v>
      </c>
      <c r="B17" s="14" t="s">
        <v>35</v>
      </c>
      <c r="C17" s="28">
        <v>628</v>
      </c>
      <c r="D17" s="28">
        <v>15</v>
      </c>
      <c r="E17" s="28">
        <v>60</v>
      </c>
      <c r="F17" s="28">
        <v>108</v>
      </c>
      <c r="G17" s="28">
        <v>77</v>
      </c>
      <c r="H17" s="28">
        <v>60</v>
      </c>
      <c r="I17" s="28">
        <v>45</v>
      </c>
      <c r="J17" s="28">
        <v>46</v>
      </c>
      <c r="K17" s="28">
        <v>45</v>
      </c>
      <c r="L17" s="16">
        <v>32</v>
      </c>
      <c r="M17" s="28"/>
      <c r="N17" s="28"/>
      <c r="O17" s="28"/>
      <c r="P17" s="28">
        <f t="shared" si="0"/>
        <v>488</v>
      </c>
      <c r="Q17" s="17">
        <f t="shared" si="1"/>
        <v>0.77707006369426757</v>
      </c>
      <c r="S17" s="27"/>
      <c r="T17" s="12"/>
    </row>
    <row r="18" spans="1:20" ht="14.25" customHeight="1" x14ac:dyDescent="0.25">
      <c r="A18" s="13">
        <v>13</v>
      </c>
      <c r="B18" s="14" t="s">
        <v>36</v>
      </c>
      <c r="C18" s="28">
        <v>166</v>
      </c>
      <c r="D18" s="28">
        <v>0</v>
      </c>
      <c r="E18" s="28">
        <v>15</v>
      </c>
      <c r="F18" s="28">
        <v>0</v>
      </c>
      <c r="G18" s="28">
        <v>0</v>
      </c>
      <c r="H18" s="28">
        <v>59</v>
      </c>
      <c r="I18" s="28">
        <v>29</v>
      </c>
      <c r="J18" s="28">
        <v>16</v>
      </c>
      <c r="K18" s="28">
        <v>0</v>
      </c>
      <c r="L18" s="16">
        <v>0</v>
      </c>
      <c r="M18" s="28"/>
      <c r="N18" s="28"/>
      <c r="O18" s="28"/>
      <c r="P18" s="28">
        <f t="shared" si="0"/>
        <v>119</v>
      </c>
      <c r="Q18" s="17">
        <f t="shared" si="1"/>
        <v>0.7168674698795181</v>
      </c>
      <c r="S18" s="27"/>
      <c r="T18" s="12"/>
    </row>
    <row r="19" spans="1:20" ht="14.25" customHeight="1" x14ac:dyDescent="0.25">
      <c r="A19" s="13">
        <v>14</v>
      </c>
      <c r="B19" s="14" t="s">
        <v>37</v>
      </c>
      <c r="C19" s="28">
        <v>1282</v>
      </c>
      <c r="D19" s="28">
        <v>163</v>
      </c>
      <c r="E19" s="28">
        <v>128</v>
      </c>
      <c r="F19" s="28">
        <v>146</v>
      </c>
      <c r="G19" s="28">
        <v>238</v>
      </c>
      <c r="H19" s="28">
        <v>131</v>
      </c>
      <c r="I19" s="28">
        <v>164</v>
      </c>
      <c r="J19" s="28">
        <v>107</v>
      </c>
      <c r="K19" s="28">
        <v>78</v>
      </c>
      <c r="L19" s="16">
        <v>59</v>
      </c>
      <c r="M19" s="28"/>
      <c r="N19" s="28"/>
      <c r="O19" s="28"/>
      <c r="P19" s="28">
        <f t="shared" si="0"/>
        <v>1214</v>
      </c>
      <c r="Q19" s="17">
        <f t="shared" si="1"/>
        <v>0.94695787831513256</v>
      </c>
      <c r="S19" s="27"/>
      <c r="T19" s="12"/>
    </row>
    <row r="20" spans="1:20" ht="14.25" customHeight="1" x14ac:dyDescent="0.25">
      <c r="A20" s="13">
        <v>15</v>
      </c>
      <c r="B20" s="14" t="s">
        <v>38</v>
      </c>
      <c r="C20" s="28">
        <v>10408</v>
      </c>
      <c r="D20" s="28">
        <v>1079</v>
      </c>
      <c r="E20" s="28">
        <v>1027</v>
      </c>
      <c r="F20" s="28">
        <v>1509</v>
      </c>
      <c r="G20" s="28">
        <v>1021</v>
      </c>
      <c r="H20" s="28">
        <v>1111</v>
      </c>
      <c r="I20" s="28">
        <v>722</v>
      </c>
      <c r="J20" s="28">
        <v>758</v>
      </c>
      <c r="K20" s="28">
        <v>679</v>
      </c>
      <c r="L20" s="16">
        <v>632</v>
      </c>
      <c r="M20" s="28"/>
      <c r="N20" s="28"/>
      <c r="O20" s="28"/>
      <c r="P20" s="28">
        <f t="shared" si="0"/>
        <v>8538</v>
      </c>
      <c r="Q20" s="17">
        <f t="shared" si="1"/>
        <v>0.82033051498847043</v>
      </c>
      <c r="S20" s="27"/>
      <c r="T20" s="12"/>
    </row>
    <row r="21" spans="1:20" ht="14.25" customHeight="1" x14ac:dyDescent="0.25">
      <c r="A21" s="13">
        <v>16</v>
      </c>
      <c r="B21" s="14" t="s">
        <v>39</v>
      </c>
      <c r="C21" s="28">
        <v>2225</v>
      </c>
      <c r="D21" s="28">
        <v>208</v>
      </c>
      <c r="E21" s="28">
        <v>383</v>
      </c>
      <c r="F21" s="28">
        <v>294</v>
      </c>
      <c r="G21" s="28">
        <v>320</v>
      </c>
      <c r="H21" s="28">
        <v>105</v>
      </c>
      <c r="I21" s="28">
        <v>221</v>
      </c>
      <c r="J21" s="28">
        <v>167</v>
      </c>
      <c r="K21" s="28">
        <v>122</v>
      </c>
      <c r="L21" s="16">
        <v>121</v>
      </c>
      <c r="M21" s="28"/>
      <c r="N21" s="28"/>
      <c r="O21" s="28"/>
      <c r="P21" s="28">
        <f t="shared" si="0"/>
        <v>1941</v>
      </c>
      <c r="Q21" s="17">
        <f t="shared" si="1"/>
        <v>0.8723595505617977</v>
      </c>
      <c r="S21" s="27"/>
      <c r="T21" s="12"/>
    </row>
    <row r="22" spans="1:20" ht="14.25" customHeight="1" x14ac:dyDescent="0.25">
      <c r="A22" s="13">
        <v>17</v>
      </c>
      <c r="B22" s="14" t="s">
        <v>40</v>
      </c>
      <c r="C22" s="28">
        <v>8029</v>
      </c>
      <c r="D22" s="28">
        <v>187</v>
      </c>
      <c r="E22" s="28">
        <v>1082</v>
      </c>
      <c r="F22" s="28">
        <v>1341</v>
      </c>
      <c r="G22" s="28">
        <v>2333</v>
      </c>
      <c r="H22" s="28">
        <v>1090</v>
      </c>
      <c r="I22" s="28">
        <v>1473</v>
      </c>
      <c r="J22" s="28">
        <v>1219</v>
      </c>
      <c r="K22" s="28">
        <v>1043</v>
      </c>
      <c r="L22" s="16">
        <v>903</v>
      </c>
      <c r="M22" s="28"/>
      <c r="N22" s="28"/>
      <c r="O22" s="28"/>
      <c r="P22" s="28">
        <f t="shared" si="0"/>
        <v>10671</v>
      </c>
      <c r="Q22" s="17">
        <f t="shared" si="1"/>
        <v>1.3290571677668452</v>
      </c>
      <c r="S22" s="27"/>
      <c r="T22" s="12"/>
    </row>
    <row r="23" spans="1:20" ht="14.25" customHeight="1" x14ac:dyDescent="0.25">
      <c r="A23" s="13">
        <v>18</v>
      </c>
      <c r="B23" s="14" t="s">
        <v>41</v>
      </c>
      <c r="C23" s="28">
        <v>3096</v>
      </c>
      <c r="D23" s="28">
        <v>311</v>
      </c>
      <c r="E23" s="28">
        <v>141</v>
      </c>
      <c r="F23" s="28">
        <v>753</v>
      </c>
      <c r="G23" s="28">
        <v>912</v>
      </c>
      <c r="H23" s="28">
        <v>518</v>
      </c>
      <c r="I23" s="28">
        <v>367</v>
      </c>
      <c r="J23" s="28">
        <v>517</v>
      </c>
      <c r="K23" s="28">
        <v>510</v>
      </c>
      <c r="L23" s="16">
        <v>273</v>
      </c>
      <c r="M23" s="28"/>
      <c r="N23" s="28"/>
      <c r="O23" s="28"/>
      <c r="P23" s="28">
        <f t="shared" si="0"/>
        <v>4302</v>
      </c>
      <c r="Q23" s="17">
        <f t="shared" si="1"/>
        <v>1.3895348837209303</v>
      </c>
      <c r="S23" s="27"/>
      <c r="T23" s="12"/>
    </row>
    <row r="24" spans="1:20" ht="14.25" customHeight="1" x14ac:dyDescent="0.25">
      <c r="A24" s="13">
        <v>19</v>
      </c>
      <c r="B24" s="14" t="s">
        <v>42</v>
      </c>
      <c r="C24" s="28">
        <v>7695</v>
      </c>
      <c r="D24" s="28">
        <v>593</v>
      </c>
      <c r="E24" s="28">
        <v>1221</v>
      </c>
      <c r="F24" s="28">
        <v>1440</v>
      </c>
      <c r="G24" s="28">
        <v>2441</v>
      </c>
      <c r="H24" s="28">
        <v>614</v>
      </c>
      <c r="I24" s="28">
        <v>475</v>
      </c>
      <c r="J24" s="28">
        <v>168</v>
      </c>
      <c r="K24" s="28">
        <v>454</v>
      </c>
      <c r="L24" s="16">
        <v>222</v>
      </c>
      <c r="M24" s="28"/>
      <c r="N24" s="28"/>
      <c r="O24" s="28"/>
      <c r="P24" s="28">
        <f t="shared" si="0"/>
        <v>7628</v>
      </c>
      <c r="Q24" s="17">
        <f t="shared" si="1"/>
        <v>0.9912930474333983</v>
      </c>
      <c r="S24" s="27"/>
      <c r="T24" s="12"/>
    </row>
    <row r="25" spans="1:20" ht="14.25" customHeight="1" x14ac:dyDescent="0.25">
      <c r="A25" s="13">
        <v>20</v>
      </c>
      <c r="B25" s="14" t="s">
        <v>43</v>
      </c>
      <c r="C25" s="28">
        <v>11726</v>
      </c>
      <c r="D25" s="28">
        <v>1881</v>
      </c>
      <c r="E25" s="28">
        <v>1527</v>
      </c>
      <c r="F25" s="28">
        <v>1813</v>
      </c>
      <c r="G25" s="28">
        <v>1579</v>
      </c>
      <c r="H25" s="28">
        <v>1250</v>
      </c>
      <c r="I25" s="28">
        <v>1371</v>
      </c>
      <c r="J25" s="28">
        <v>928</v>
      </c>
      <c r="K25" s="28">
        <v>725</v>
      </c>
      <c r="L25" s="16">
        <v>630</v>
      </c>
      <c r="M25" s="28"/>
      <c r="N25" s="28"/>
      <c r="O25" s="28"/>
      <c r="P25" s="28">
        <f t="shared" si="0"/>
        <v>11704</v>
      </c>
      <c r="Q25" s="17">
        <f t="shared" si="1"/>
        <v>0.99812382739212002</v>
      </c>
      <c r="S25" s="27"/>
      <c r="T25" s="12"/>
    </row>
    <row r="26" spans="1:20" ht="14.25" customHeight="1" x14ac:dyDescent="0.25">
      <c r="A26" s="13">
        <v>21</v>
      </c>
      <c r="B26" s="14" t="s">
        <v>44</v>
      </c>
      <c r="C26" s="28">
        <v>8074</v>
      </c>
      <c r="D26" s="28">
        <v>627</v>
      </c>
      <c r="E26" s="28">
        <v>378</v>
      </c>
      <c r="F26" s="28">
        <v>2745</v>
      </c>
      <c r="G26" s="28">
        <v>350</v>
      </c>
      <c r="H26" s="28">
        <v>727</v>
      </c>
      <c r="I26" s="28">
        <v>1617</v>
      </c>
      <c r="J26" s="28">
        <v>915</v>
      </c>
      <c r="K26" s="28">
        <v>567</v>
      </c>
      <c r="L26" s="16">
        <v>741</v>
      </c>
      <c r="M26" s="28"/>
      <c r="N26" s="28"/>
      <c r="O26" s="28"/>
      <c r="P26" s="28">
        <f t="shared" si="0"/>
        <v>8667</v>
      </c>
      <c r="Q26" s="17">
        <f t="shared" si="1"/>
        <v>1.0734456279415407</v>
      </c>
      <c r="S26" s="27"/>
      <c r="T26" s="12"/>
    </row>
    <row r="27" spans="1:20" ht="14.25" customHeight="1" x14ac:dyDescent="0.25">
      <c r="A27" s="13">
        <v>22</v>
      </c>
      <c r="B27" s="14" t="s">
        <v>45</v>
      </c>
      <c r="C27" s="28">
        <v>20655</v>
      </c>
      <c r="D27" s="28">
        <v>1991</v>
      </c>
      <c r="E27" s="28">
        <v>970</v>
      </c>
      <c r="F27" s="28">
        <v>2162</v>
      </c>
      <c r="G27" s="28">
        <v>1584</v>
      </c>
      <c r="H27" s="28">
        <v>2008</v>
      </c>
      <c r="I27" s="28">
        <v>2714</v>
      </c>
      <c r="J27" s="28">
        <v>2150</v>
      </c>
      <c r="K27" s="28">
        <v>737</v>
      </c>
      <c r="L27" s="16">
        <v>755</v>
      </c>
      <c r="M27" s="28"/>
      <c r="N27" s="28"/>
      <c r="O27" s="28"/>
      <c r="P27" s="28">
        <f t="shared" si="0"/>
        <v>15071</v>
      </c>
      <c r="Q27" s="17">
        <f t="shared" si="1"/>
        <v>0.72965383684337937</v>
      </c>
      <c r="S27" s="27"/>
      <c r="T27" s="12"/>
    </row>
    <row r="28" spans="1:20" ht="14.25" customHeight="1" x14ac:dyDescent="0.25">
      <c r="A28" s="13">
        <v>23</v>
      </c>
      <c r="B28" s="14" t="s">
        <v>46</v>
      </c>
      <c r="C28" s="28">
        <v>12535</v>
      </c>
      <c r="D28" s="28">
        <v>1423</v>
      </c>
      <c r="E28" s="28">
        <v>554</v>
      </c>
      <c r="F28" s="28">
        <v>3744</v>
      </c>
      <c r="G28" s="28">
        <v>1619</v>
      </c>
      <c r="H28" s="28">
        <v>961</v>
      </c>
      <c r="I28" s="28">
        <v>1496</v>
      </c>
      <c r="J28" s="28">
        <v>1394</v>
      </c>
      <c r="K28" s="28">
        <v>1139</v>
      </c>
      <c r="L28" s="16">
        <v>1415</v>
      </c>
      <c r="M28" s="28"/>
      <c r="N28" s="28"/>
      <c r="O28" s="28"/>
      <c r="P28" s="28">
        <f t="shared" si="0"/>
        <v>13745</v>
      </c>
      <c r="Q28" s="17">
        <f t="shared" si="1"/>
        <v>1.0965297167929797</v>
      </c>
      <c r="S28" s="27"/>
      <c r="T28" s="12"/>
    </row>
    <row r="29" spans="1:20" ht="14.25" customHeight="1" x14ac:dyDescent="0.25">
      <c r="A29" s="13">
        <v>24</v>
      </c>
      <c r="B29" s="14" t="s">
        <v>47</v>
      </c>
      <c r="C29" s="28">
        <v>270</v>
      </c>
      <c r="D29" s="28">
        <v>44</v>
      </c>
      <c r="E29" s="28">
        <v>0</v>
      </c>
      <c r="F29" s="28">
        <v>112</v>
      </c>
      <c r="G29" s="28">
        <v>0</v>
      </c>
      <c r="H29" s="28">
        <v>0</v>
      </c>
      <c r="I29" s="28">
        <v>0</v>
      </c>
      <c r="J29" s="28">
        <v>124</v>
      </c>
      <c r="K29" s="28">
        <v>113</v>
      </c>
      <c r="L29" s="16">
        <v>106</v>
      </c>
      <c r="M29" s="28"/>
      <c r="N29" s="28"/>
      <c r="O29" s="28"/>
      <c r="P29" s="28">
        <f t="shared" si="0"/>
        <v>499</v>
      </c>
      <c r="Q29" s="17">
        <f t="shared" si="1"/>
        <v>1.8481481481481481</v>
      </c>
      <c r="S29" s="27"/>
      <c r="T29" s="12"/>
    </row>
    <row r="30" spans="1:20" ht="14.25" customHeight="1" x14ac:dyDescent="0.25">
      <c r="A30" s="13">
        <v>25</v>
      </c>
      <c r="B30" s="14" t="s">
        <v>48</v>
      </c>
      <c r="C30" s="28">
        <v>224</v>
      </c>
      <c r="D30" s="28">
        <v>0</v>
      </c>
      <c r="E30" s="28">
        <v>0</v>
      </c>
      <c r="F30" s="28">
        <v>46</v>
      </c>
      <c r="G30" s="28">
        <v>45</v>
      </c>
      <c r="H30" s="28">
        <v>44</v>
      </c>
      <c r="I30" s="28">
        <v>0</v>
      </c>
      <c r="J30" s="28">
        <v>147</v>
      </c>
      <c r="K30" s="28">
        <v>59</v>
      </c>
      <c r="L30" s="16">
        <v>3</v>
      </c>
      <c r="M30" s="28"/>
      <c r="N30" s="28"/>
      <c r="O30" s="28"/>
      <c r="P30" s="28">
        <f t="shared" si="0"/>
        <v>344</v>
      </c>
      <c r="Q30" s="17">
        <f t="shared" si="1"/>
        <v>1.5357142857142858</v>
      </c>
      <c r="S30" s="27"/>
      <c r="T30" s="12"/>
    </row>
    <row r="31" spans="1:20" ht="14.25" customHeight="1" x14ac:dyDescent="0.25">
      <c r="A31" s="13">
        <v>26</v>
      </c>
      <c r="B31" s="14" t="s">
        <v>49</v>
      </c>
      <c r="C31" s="28">
        <v>446</v>
      </c>
      <c r="D31" s="28">
        <v>30</v>
      </c>
      <c r="E31" s="28">
        <v>32</v>
      </c>
      <c r="F31" s="28">
        <v>31</v>
      </c>
      <c r="G31" s="28">
        <v>44</v>
      </c>
      <c r="H31" s="28">
        <v>59</v>
      </c>
      <c r="I31" s="28">
        <v>58</v>
      </c>
      <c r="J31" s="28">
        <v>58</v>
      </c>
      <c r="K31" s="28">
        <v>30</v>
      </c>
      <c r="L31" s="16">
        <v>60</v>
      </c>
      <c r="M31" s="28"/>
      <c r="N31" s="28"/>
      <c r="O31" s="28"/>
      <c r="P31" s="28">
        <f t="shared" si="0"/>
        <v>402</v>
      </c>
      <c r="Q31" s="17">
        <f t="shared" si="1"/>
        <v>0.90134529147982068</v>
      </c>
      <c r="S31" s="27"/>
      <c r="T31" s="12"/>
    </row>
    <row r="32" spans="1:20" ht="14.25" customHeight="1" x14ac:dyDescent="0.25">
      <c r="A32" s="13">
        <v>27</v>
      </c>
      <c r="B32" s="14" t="s">
        <v>50</v>
      </c>
      <c r="C32" s="28">
        <v>3215</v>
      </c>
      <c r="D32" s="28">
        <v>177</v>
      </c>
      <c r="E32" s="28">
        <v>208</v>
      </c>
      <c r="F32" s="28">
        <v>507</v>
      </c>
      <c r="G32" s="28">
        <v>375</v>
      </c>
      <c r="H32" s="28">
        <v>383</v>
      </c>
      <c r="I32" s="28">
        <v>493</v>
      </c>
      <c r="J32" s="28">
        <v>328</v>
      </c>
      <c r="K32" s="28">
        <v>91</v>
      </c>
      <c r="L32" s="16">
        <v>298</v>
      </c>
      <c r="M32" s="28"/>
      <c r="N32" s="28"/>
      <c r="O32" s="28"/>
      <c r="P32" s="28">
        <f t="shared" si="0"/>
        <v>2860</v>
      </c>
      <c r="Q32" s="17">
        <f t="shared" si="1"/>
        <v>0.88958009331259724</v>
      </c>
      <c r="S32" s="27"/>
      <c r="T32" s="12"/>
    </row>
    <row r="33" spans="1:20" ht="14.25" customHeight="1" x14ac:dyDescent="0.25">
      <c r="A33" s="13">
        <v>28</v>
      </c>
      <c r="B33" s="14" t="s">
        <v>51</v>
      </c>
      <c r="C33" s="28">
        <v>6079</v>
      </c>
      <c r="D33" s="28">
        <v>227</v>
      </c>
      <c r="E33" s="28">
        <v>117</v>
      </c>
      <c r="F33" s="28">
        <v>44</v>
      </c>
      <c r="G33" s="28">
        <v>444</v>
      </c>
      <c r="H33" s="28">
        <v>682</v>
      </c>
      <c r="I33" s="28">
        <v>599</v>
      </c>
      <c r="J33" s="28">
        <v>81</v>
      </c>
      <c r="K33" s="28">
        <v>223</v>
      </c>
      <c r="L33" s="16">
        <v>178</v>
      </c>
      <c r="M33" s="28"/>
      <c r="N33" s="28"/>
      <c r="O33" s="28"/>
      <c r="P33" s="28">
        <f t="shared" si="0"/>
        <v>2595</v>
      </c>
      <c r="Q33" s="17">
        <f t="shared" si="1"/>
        <v>0.42687942095739428</v>
      </c>
      <c r="S33" s="27"/>
      <c r="T33" s="12"/>
    </row>
    <row r="34" spans="1:20" ht="14.25" customHeight="1" x14ac:dyDescent="0.25">
      <c r="A34" s="13">
        <v>29</v>
      </c>
      <c r="B34" s="14" t="s">
        <v>52</v>
      </c>
      <c r="C34" s="28">
        <v>2634</v>
      </c>
      <c r="D34" s="28">
        <v>108</v>
      </c>
      <c r="E34" s="28">
        <v>162</v>
      </c>
      <c r="F34" s="28">
        <v>180</v>
      </c>
      <c r="G34" s="28">
        <v>274</v>
      </c>
      <c r="H34" s="28">
        <v>21</v>
      </c>
      <c r="I34" s="28">
        <v>109</v>
      </c>
      <c r="J34" s="28">
        <v>139</v>
      </c>
      <c r="K34" s="28">
        <v>168</v>
      </c>
      <c r="L34" s="16">
        <v>140</v>
      </c>
      <c r="M34" s="28"/>
      <c r="N34" s="28"/>
      <c r="O34" s="28"/>
      <c r="P34" s="28">
        <f t="shared" si="0"/>
        <v>1301</v>
      </c>
      <c r="Q34" s="17">
        <f t="shared" si="1"/>
        <v>0.49392558845861806</v>
      </c>
      <c r="S34" s="27"/>
      <c r="T34" s="12"/>
    </row>
    <row r="35" spans="1:20" ht="14.25" customHeight="1" x14ac:dyDescent="0.25">
      <c r="A35" s="13">
        <v>30</v>
      </c>
      <c r="B35" s="14" t="s">
        <v>53</v>
      </c>
      <c r="C35" s="28">
        <v>8196</v>
      </c>
      <c r="D35" s="28">
        <v>348</v>
      </c>
      <c r="E35" s="28">
        <v>0</v>
      </c>
      <c r="F35" s="28">
        <v>0</v>
      </c>
      <c r="G35" s="28">
        <v>728</v>
      </c>
      <c r="H35" s="28">
        <v>811</v>
      </c>
      <c r="I35" s="28">
        <v>446</v>
      </c>
      <c r="J35" s="28">
        <v>0</v>
      </c>
      <c r="K35" s="28">
        <v>0</v>
      </c>
      <c r="L35" s="16">
        <v>0</v>
      </c>
      <c r="M35" s="28"/>
      <c r="N35" s="28"/>
      <c r="O35" s="28"/>
      <c r="P35" s="28">
        <f t="shared" si="0"/>
        <v>2333</v>
      </c>
      <c r="Q35" s="17">
        <f t="shared" si="1"/>
        <v>0.2846510492923377</v>
      </c>
      <c r="S35" s="27"/>
      <c r="T35" s="12"/>
    </row>
    <row r="36" spans="1:20" ht="14.25" customHeight="1" x14ac:dyDescent="0.25">
      <c r="A36" s="13">
        <v>31</v>
      </c>
      <c r="B36" s="14" t="s">
        <v>54</v>
      </c>
      <c r="C36" s="28">
        <v>1407</v>
      </c>
      <c r="D36" s="28">
        <v>94</v>
      </c>
      <c r="E36" s="28">
        <v>124</v>
      </c>
      <c r="F36" s="28">
        <v>136</v>
      </c>
      <c r="G36" s="28">
        <v>215</v>
      </c>
      <c r="H36" s="28">
        <v>0</v>
      </c>
      <c r="I36" s="28">
        <v>94</v>
      </c>
      <c r="J36" s="28">
        <v>124</v>
      </c>
      <c r="K36" s="28">
        <v>92</v>
      </c>
      <c r="L36" s="16">
        <v>123</v>
      </c>
      <c r="M36" s="28"/>
      <c r="N36" s="28"/>
      <c r="O36" s="28"/>
      <c r="P36" s="28">
        <f t="shared" si="0"/>
        <v>1002</v>
      </c>
      <c r="Q36" s="17">
        <f t="shared" si="1"/>
        <v>0.71215351812366734</v>
      </c>
      <c r="S36" s="27"/>
      <c r="T36" s="12"/>
    </row>
    <row r="37" spans="1:20" ht="14.25" customHeight="1" x14ac:dyDescent="0.25">
      <c r="A37" s="13">
        <v>32</v>
      </c>
      <c r="B37" s="14" t="s">
        <v>55</v>
      </c>
      <c r="C37" s="28">
        <v>2138</v>
      </c>
      <c r="D37" s="28">
        <v>93</v>
      </c>
      <c r="E37" s="28">
        <v>170</v>
      </c>
      <c r="F37" s="28">
        <v>196</v>
      </c>
      <c r="G37" s="28">
        <v>288</v>
      </c>
      <c r="H37" s="28">
        <v>15</v>
      </c>
      <c r="I37" s="28">
        <v>122</v>
      </c>
      <c r="J37" s="28">
        <v>124</v>
      </c>
      <c r="K37" s="28">
        <v>137</v>
      </c>
      <c r="L37" s="16">
        <v>125</v>
      </c>
      <c r="M37" s="28"/>
      <c r="N37" s="28"/>
      <c r="O37" s="28"/>
      <c r="P37" s="28">
        <f t="shared" si="0"/>
        <v>1270</v>
      </c>
      <c r="Q37" s="17">
        <f t="shared" si="1"/>
        <v>0.59401309635173061</v>
      </c>
      <c r="S37" s="27"/>
      <c r="T37" s="12"/>
    </row>
    <row r="38" spans="1:20" ht="14.25" customHeight="1" x14ac:dyDescent="0.25">
      <c r="A38" s="13">
        <v>33</v>
      </c>
      <c r="B38" s="14" t="s">
        <v>56</v>
      </c>
      <c r="C38" s="28">
        <v>10530</v>
      </c>
      <c r="D38" s="28">
        <v>39</v>
      </c>
      <c r="E38" s="28">
        <v>435</v>
      </c>
      <c r="F38" s="28">
        <v>458</v>
      </c>
      <c r="G38" s="28">
        <v>457</v>
      </c>
      <c r="H38" s="28">
        <v>457</v>
      </c>
      <c r="I38" s="28">
        <v>462</v>
      </c>
      <c r="J38" s="28">
        <v>658</v>
      </c>
      <c r="K38" s="28">
        <v>430</v>
      </c>
      <c r="L38" s="16">
        <v>6509</v>
      </c>
      <c r="M38" s="28"/>
      <c r="N38" s="28"/>
      <c r="O38" s="28"/>
      <c r="P38" s="28">
        <f t="shared" si="0"/>
        <v>9905</v>
      </c>
      <c r="Q38" s="17">
        <f t="shared" si="1"/>
        <v>0.94064577397910731</v>
      </c>
      <c r="S38" s="27"/>
      <c r="T38" s="12"/>
    </row>
    <row r="39" spans="1:20" ht="14.25" customHeight="1" x14ac:dyDescent="0.25">
      <c r="A39" s="13">
        <v>34</v>
      </c>
      <c r="B39" s="14" t="s">
        <v>57</v>
      </c>
      <c r="C39" s="28">
        <v>3195</v>
      </c>
      <c r="D39" s="28">
        <v>90</v>
      </c>
      <c r="E39" s="28">
        <v>816</v>
      </c>
      <c r="F39" s="28">
        <v>699</v>
      </c>
      <c r="G39" s="28">
        <v>286</v>
      </c>
      <c r="H39" s="28">
        <v>313</v>
      </c>
      <c r="I39" s="28">
        <v>378</v>
      </c>
      <c r="J39" s="28">
        <v>256</v>
      </c>
      <c r="K39" s="28">
        <v>225</v>
      </c>
      <c r="L39" s="16">
        <v>181</v>
      </c>
      <c r="M39" s="28"/>
      <c r="N39" s="28"/>
      <c r="O39" s="28"/>
      <c r="P39" s="28">
        <f t="shared" si="0"/>
        <v>3244</v>
      </c>
      <c r="Q39" s="17">
        <f t="shared" si="1"/>
        <v>1.0153364632237871</v>
      </c>
      <c r="S39" s="27"/>
      <c r="T39" s="12"/>
    </row>
    <row r="40" spans="1:20" ht="14.25" customHeight="1" x14ac:dyDescent="0.25">
      <c r="A40" s="13">
        <v>35</v>
      </c>
      <c r="B40" s="14" t="s">
        <v>58</v>
      </c>
      <c r="C40" s="28">
        <v>745</v>
      </c>
      <c r="D40" s="28">
        <v>15</v>
      </c>
      <c r="E40" s="28">
        <v>57</v>
      </c>
      <c r="F40" s="28">
        <v>63</v>
      </c>
      <c r="G40" s="28">
        <v>87</v>
      </c>
      <c r="H40" s="28">
        <v>107</v>
      </c>
      <c r="I40" s="28">
        <v>528</v>
      </c>
      <c r="J40" s="28">
        <v>81</v>
      </c>
      <c r="K40" s="28">
        <v>85</v>
      </c>
      <c r="L40" s="16">
        <v>85</v>
      </c>
      <c r="M40" s="28"/>
      <c r="N40" s="28"/>
      <c r="O40" s="28"/>
      <c r="P40" s="28">
        <f t="shared" si="0"/>
        <v>1108</v>
      </c>
      <c r="Q40" s="17">
        <f t="shared" si="1"/>
        <v>1.4872483221476509</v>
      </c>
      <c r="S40" s="27"/>
      <c r="T40" s="12"/>
    </row>
    <row r="41" spans="1:20" ht="14.25" customHeight="1" x14ac:dyDescent="0.25">
      <c r="A41" s="13">
        <v>36</v>
      </c>
      <c r="B41" s="14" t="s">
        <v>59</v>
      </c>
      <c r="C41" s="28">
        <v>1506</v>
      </c>
      <c r="D41" s="28">
        <v>111</v>
      </c>
      <c r="E41" s="28">
        <v>16</v>
      </c>
      <c r="F41" s="28">
        <v>100</v>
      </c>
      <c r="G41" s="28">
        <v>132</v>
      </c>
      <c r="H41" s="28">
        <v>161</v>
      </c>
      <c r="I41" s="28">
        <v>179</v>
      </c>
      <c r="J41" s="28">
        <v>135</v>
      </c>
      <c r="K41" s="28">
        <v>90</v>
      </c>
      <c r="L41" s="16">
        <v>44</v>
      </c>
      <c r="M41" s="28"/>
      <c r="N41" s="28"/>
      <c r="O41" s="28"/>
      <c r="P41" s="28">
        <f t="shared" si="0"/>
        <v>968</v>
      </c>
      <c r="Q41" s="17">
        <f t="shared" si="1"/>
        <v>0.64276228419654713</v>
      </c>
      <c r="S41" s="27"/>
      <c r="T41" s="12"/>
    </row>
    <row r="42" spans="1:20" ht="14.25" customHeight="1" x14ac:dyDescent="0.25">
      <c r="A42" s="13">
        <v>37</v>
      </c>
      <c r="B42" s="14" t="s">
        <v>60</v>
      </c>
      <c r="C42" s="28">
        <v>2117</v>
      </c>
      <c r="D42" s="28">
        <v>115</v>
      </c>
      <c r="E42" s="28">
        <v>197</v>
      </c>
      <c r="F42" s="28">
        <v>259</v>
      </c>
      <c r="G42" s="28">
        <v>308</v>
      </c>
      <c r="H42" s="28">
        <v>145</v>
      </c>
      <c r="I42" s="28">
        <v>252</v>
      </c>
      <c r="J42" s="28">
        <v>179</v>
      </c>
      <c r="K42" s="28">
        <v>132</v>
      </c>
      <c r="L42" s="16">
        <v>129</v>
      </c>
      <c r="M42" s="28"/>
      <c r="N42" s="28"/>
      <c r="O42" s="28"/>
      <c r="P42" s="28">
        <f t="shared" si="0"/>
        <v>1716</v>
      </c>
      <c r="Q42" s="17">
        <f t="shared" si="1"/>
        <v>0.8105810108644308</v>
      </c>
      <c r="S42" s="27"/>
      <c r="T42" s="12"/>
    </row>
    <row r="43" spans="1:20" ht="14.25" customHeight="1" x14ac:dyDescent="0.25">
      <c r="A43" s="13">
        <v>38</v>
      </c>
      <c r="B43" s="14" t="s">
        <v>61</v>
      </c>
      <c r="C43" s="28">
        <v>728</v>
      </c>
      <c r="D43" s="28">
        <v>1</v>
      </c>
      <c r="E43" s="28">
        <v>6</v>
      </c>
      <c r="F43" s="28">
        <v>4</v>
      </c>
      <c r="G43" s="28">
        <v>8</v>
      </c>
      <c r="H43" s="28">
        <v>9</v>
      </c>
      <c r="I43" s="28">
        <v>10</v>
      </c>
      <c r="J43" s="28">
        <v>23</v>
      </c>
      <c r="K43" s="28">
        <v>25</v>
      </c>
      <c r="L43" s="16">
        <v>163</v>
      </c>
      <c r="M43" s="28"/>
      <c r="N43" s="28"/>
      <c r="O43" s="28"/>
      <c r="P43" s="28">
        <f t="shared" si="0"/>
        <v>249</v>
      </c>
      <c r="Q43" s="17">
        <f t="shared" si="1"/>
        <v>0.34203296703296704</v>
      </c>
      <c r="S43" s="27"/>
      <c r="T43" s="12"/>
    </row>
    <row r="44" spans="1:20" ht="14.25" customHeight="1" x14ac:dyDescent="0.25">
      <c r="A44" s="13">
        <v>39</v>
      </c>
      <c r="B44" s="14" t="s">
        <v>62</v>
      </c>
      <c r="C44" s="28">
        <v>72</v>
      </c>
      <c r="D44" s="28">
        <v>44</v>
      </c>
      <c r="E44" s="28">
        <v>27</v>
      </c>
      <c r="F44" s="28">
        <v>31</v>
      </c>
      <c r="G44" s="28">
        <v>0</v>
      </c>
      <c r="H44" s="28">
        <v>0</v>
      </c>
      <c r="I44" s="28">
        <v>14</v>
      </c>
      <c r="J44" s="28">
        <v>29</v>
      </c>
      <c r="K44" s="28">
        <v>58</v>
      </c>
      <c r="L44" s="16">
        <v>43</v>
      </c>
      <c r="M44" s="28"/>
      <c r="N44" s="28"/>
      <c r="O44" s="28"/>
      <c r="P44" s="28">
        <f t="shared" si="0"/>
        <v>246</v>
      </c>
      <c r="Q44" s="17">
        <f t="shared" si="1"/>
        <v>3.4166666666666665</v>
      </c>
      <c r="S44" s="27"/>
      <c r="T44" s="12"/>
    </row>
    <row r="45" spans="1:20" ht="14.25" customHeight="1" x14ac:dyDescent="0.25">
      <c r="A45" s="13">
        <v>40</v>
      </c>
      <c r="B45" s="14" t="s">
        <v>63</v>
      </c>
      <c r="C45" s="28">
        <v>1220</v>
      </c>
      <c r="D45" s="28">
        <v>819</v>
      </c>
      <c r="E45" s="28">
        <v>52</v>
      </c>
      <c r="F45" s="28">
        <v>43</v>
      </c>
      <c r="G45" s="28">
        <v>98</v>
      </c>
      <c r="H45" s="28">
        <v>73</v>
      </c>
      <c r="I45" s="28">
        <v>0</v>
      </c>
      <c r="J45" s="28">
        <v>144</v>
      </c>
      <c r="K45" s="28">
        <v>222</v>
      </c>
      <c r="L45" s="16">
        <v>74</v>
      </c>
      <c r="M45" s="28"/>
      <c r="N45" s="28"/>
      <c r="O45" s="28"/>
      <c r="P45" s="28">
        <f t="shared" si="0"/>
        <v>1525</v>
      </c>
      <c r="Q45" s="17">
        <f t="shared" si="1"/>
        <v>1.25</v>
      </c>
      <c r="S45" s="27"/>
      <c r="T45" s="12"/>
    </row>
    <row r="46" spans="1:20" ht="14.25" customHeight="1" x14ac:dyDescent="0.25">
      <c r="A46" s="13">
        <v>41</v>
      </c>
      <c r="B46" s="14" t="s">
        <v>64</v>
      </c>
      <c r="C46" s="28">
        <v>779</v>
      </c>
      <c r="D46" s="28">
        <v>0</v>
      </c>
      <c r="E46" s="28">
        <v>0</v>
      </c>
      <c r="F46" s="28">
        <v>70</v>
      </c>
      <c r="G46" s="28">
        <v>146</v>
      </c>
      <c r="H46" s="28">
        <v>108</v>
      </c>
      <c r="I46" s="28">
        <v>102</v>
      </c>
      <c r="J46" s="28">
        <v>89</v>
      </c>
      <c r="K46" s="28">
        <v>64</v>
      </c>
      <c r="L46" s="16">
        <v>45</v>
      </c>
      <c r="M46" s="28"/>
      <c r="N46" s="28"/>
      <c r="O46" s="28"/>
      <c r="P46" s="28">
        <f t="shared" si="0"/>
        <v>624</v>
      </c>
      <c r="Q46" s="17">
        <f t="shared" si="1"/>
        <v>0.80102695763799747</v>
      </c>
      <c r="S46" s="27"/>
      <c r="T46" s="12"/>
    </row>
    <row r="47" spans="1:20" ht="14.25" customHeight="1" x14ac:dyDescent="0.25">
      <c r="A47" s="18">
        <v>42</v>
      </c>
      <c r="B47" s="19" t="s">
        <v>65</v>
      </c>
      <c r="C47" s="29">
        <v>0</v>
      </c>
      <c r="D47" s="29">
        <v>0</v>
      </c>
      <c r="E47" s="29">
        <v>20</v>
      </c>
      <c r="F47" s="29">
        <v>20</v>
      </c>
      <c r="G47" s="29">
        <v>0</v>
      </c>
      <c r="H47" s="29">
        <v>0</v>
      </c>
      <c r="I47" s="29">
        <v>7</v>
      </c>
      <c r="J47" s="29">
        <v>14</v>
      </c>
      <c r="K47" s="29">
        <v>7</v>
      </c>
      <c r="L47" s="21">
        <v>0</v>
      </c>
      <c r="M47" s="29"/>
      <c r="N47" s="29"/>
      <c r="O47" s="29"/>
      <c r="P47" s="29">
        <f t="shared" si="0"/>
        <v>68</v>
      </c>
      <c r="Q47" s="22">
        <f t="shared" si="1"/>
        <v>0</v>
      </c>
      <c r="S47" s="27"/>
      <c r="T47" s="12"/>
    </row>
    <row r="48" spans="1:20" ht="14.25" customHeight="1" x14ac:dyDescent="0.25">
      <c r="A48" s="88" t="s">
        <v>66</v>
      </c>
      <c r="B48" s="89"/>
      <c r="C48" s="30">
        <f t="shared" ref="C48:P48" si="2">SUM(C6:C47)</f>
        <v>158958</v>
      </c>
      <c r="D48" s="30">
        <f t="shared" si="2"/>
        <v>14282</v>
      </c>
      <c r="E48" s="30">
        <f t="shared" si="2"/>
        <v>16296</v>
      </c>
      <c r="F48" s="30">
        <f t="shared" si="2"/>
        <v>31885</v>
      </c>
      <c r="G48" s="30">
        <f t="shared" si="2"/>
        <v>21303</v>
      </c>
      <c r="H48" s="30">
        <f t="shared" si="2"/>
        <v>17335</v>
      </c>
      <c r="I48" s="30">
        <f t="shared" si="2"/>
        <v>18060</v>
      </c>
      <c r="J48" s="30">
        <f t="shared" si="2"/>
        <v>14057</v>
      </c>
      <c r="K48" s="30">
        <f t="shared" si="2"/>
        <v>11518</v>
      </c>
      <c r="L48" s="30">
        <f t="shared" si="2"/>
        <v>15550</v>
      </c>
      <c r="M48" s="30">
        <f t="shared" si="2"/>
        <v>0</v>
      </c>
      <c r="N48" s="30">
        <f t="shared" si="2"/>
        <v>0</v>
      </c>
      <c r="O48" s="30">
        <f t="shared" si="2"/>
        <v>0</v>
      </c>
      <c r="P48" s="30">
        <f t="shared" si="2"/>
        <v>160286</v>
      </c>
      <c r="Q48" s="25">
        <f t="shared" si="1"/>
        <v>1.0083544080826381</v>
      </c>
      <c r="T48" s="12"/>
    </row>
    <row r="49" spans="12:12" ht="14.25" customHeight="1" x14ac:dyDescent="0.25"/>
    <row r="50" spans="12:12" ht="14.25" customHeight="1" x14ac:dyDescent="0.25"/>
    <row r="51" spans="12:12" ht="14.25" customHeight="1" x14ac:dyDescent="0.25">
      <c r="L51" s="31"/>
    </row>
    <row r="52" spans="12:12" ht="14.25" customHeight="1" x14ac:dyDescent="0.25"/>
    <row r="53" spans="12:12" ht="14.25" customHeight="1" x14ac:dyDescent="0.25"/>
    <row r="54" spans="12:12" ht="14.25" customHeight="1" x14ac:dyDescent="0.25"/>
    <row r="55" spans="12:12" ht="14.25" customHeight="1" x14ac:dyDescent="0.25"/>
    <row r="56" spans="12:12" ht="14.25" customHeight="1" x14ac:dyDescent="0.25"/>
    <row r="57" spans="12:12" ht="14.25" customHeight="1" x14ac:dyDescent="0.25"/>
    <row r="58" spans="12:12" ht="14.25" customHeight="1" x14ac:dyDescent="0.25"/>
    <row r="59" spans="12:12" ht="14.25" customHeight="1" x14ac:dyDescent="0.25"/>
    <row r="60" spans="12:12" ht="14.25" customHeight="1" x14ac:dyDescent="0.25"/>
    <row r="61" spans="12:12" ht="14.25" customHeight="1" x14ac:dyDescent="0.25"/>
    <row r="62" spans="12:12" ht="14.25" customHeight="1" x14ac:dyDescent="0.25"/>
    <row r="63" spans="12:12" ht="14.25" customHeight="1" x14ac:dyDescent="0.25"/>
    <row r="64" spans="12:12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3">
    <mergeCell ref="A1:Q1"/>
    <mergeCell ref="A2:Q2"/>
    <mergeCell ref="A4:A5"/>
    <mergeCell ref="B4:B5"/>
    <mergeCell ref="C4:C5"/>
    <mergeCell ref="D4:O4"/>
    <mergeCell ref="P4:P5"/>
    <mergeCell ref="A48:B48"/>
    <mergeCell ref="U6:U8"/>
    <mergeCell ref="U9:U10"/>
    <mergeCell ref="V9:V10"/>
    <mergeCell ref="W9:W10"/>
    <mergeCell ref="X9:X10"/>
    <mergeCell ref="Y9:Y10"/>
    <mergeCell ref="Z9:Z10"/>
    <mergeCell ref="AA9:AA10"/>
    <mergeCell ref="Q4:Q5"/>
    <mergeCell ref="V6:V8"/>
    <mergeCell ref="W6:W8"/>
    <mergeCell ref="X6:X8"/>
    <mergeCell ref="Y6:Y8"/>
    <mergeCell ref="Z6:Z8"/>
    <mergeCell ref="AA6:AA8"/>
  </mergeCells>
  <printOptions horizontalCentered="1" verticalCentered="1"/>
  <pageMargins left="0.70866141732283472" right="0.70866141732283472" top="0.74803149606299213" bottom="0.74803149606299213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A86E8"/>
    <pageSetUpPr fitToPage="1"/>
  </sheetPr>
  <dimension ref="A1:AA1000"/>
  <sheetViews>
    <sheetView topLeftCell="B32" workbookViewId="0">
      <selection activeCell="U6" sqref="U6:AA14"/>
    </sheetView>
  </sheetViews>
  <sheetFormatPr defaultColWidth="14.42578125" defaultRowHeight="15" customHeight="1" x14ac:dyDescent="0.25"/>
  <cols>
    <col min="1" max="1" width="4.140625" customWidth="1"/>
    <col min="2" max="3" width="15.85546875" customWidth="1"/>
    <col min="4" max="15" width="12.7109375" customWidth="1"/>
    <col min="16" max="16" width="11.5703125" customWidth="1"/>
    <col min="17" max="17" width="12.28515625" customWidth="1"/>
    <col min="18" max="20" width="8.7109375" customWidth="1"/>
    <col min="21" max="27" width="18.7109375" customWidth="1"/>
  </cols>
  <sheetData>
    <row r="1" spans="1:27" ht="14.25" customHeight="1" x14ac:dyDescent="0.25">
      <c r="A1" s="92" t="s">
        <v>69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</row>
    <row r="2" spans="1:27" ht="14.25" customHeight="1" x14ac:dyDescent="0.25">
      <c r="A2" s="92" t="s">
        <v>2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</row>
    <row r="3" spans="1:27" ht="14.2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27" ht="14.25" customHeight="1" x14ac:dyDescent="0.25">
      <c r="A4" s="85" t="s">
        <v>3</v>
      </c>
      <c r="B4" s="85" t="s">
        <v>4</v>
      </c>
      <c r="C4" s="94" t="s">
        <v>70</v>
      </c>
      <c r="D4" s="95" t="s">
        <v>6</v>
      </c>
      <c r="E4" s="96"/>
      <c r="F4" s="96"/>
      <c r="G4" s="96"/>
      <c r="H4" s="96"/>
      <c r="I4" s="96"/>
      <c r="J4" s="96"/>
      <c r="K4" s="96"/>
      <c r="L4" s="96"/>
      <c r="M4" s="96"/>
      <c r="N4" s="96"/>
      <c r="O4" s="89"/>
      <c r="P4" s="94" t="s">
        <v>7</v>
      </c>
      <c r="Q4" s="85" t="s">
        <v>8</v>
      </c>
    </row>
    <row r="5" spans="1:27" ht="36.75" customHeight="1" x14ac:dyDescent="0.25">
      <c r="A5" s="83"/>
      <c r="B5" s="83"/>
      <c r="C5" s="83"/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4" t="s">
        <v>14</v>
      </c>
      <c r="J5" s="3" t="s">
        <v>15</v>
      </c>
      <c r="K5" s="3" t="s">
        <v>16</v>
      </c>
      <c r="L5" s="3" t="s">
        <v>0</v>
      </c>
      <c r="M5" s="3" t="s">
        <v>17</v>
      </c>
      <c r="N5" s="3" t="s">
        <v>18</v>
      </c>
      <c r="O5" s="3" t="s">
        <v>19</v>
      </c>
      <c r="P5" s="83"/>
      <c r="Q5" s="83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4.25" customHeight="1" x14ac:dyDescent="0.25">
      <c r="A6" s="6">
        <v>1</v>
      </c>
      <c r="B6" s="7" t="s">
        <v>20</v>
      </c>
      <c r="C6" s="32">
        <v>3420</v>
      </c>
      <c r="D6" s="32">
        <v>1382</v>
      </c>
      <c r="E6" s="32">
        <v>1208</v>
      </c>
      <c r="F6" s="32">
        <v>616</v>
      </c>
      <c r="G6" s="32">
        <v>159</v>
      </c>
      <c r="H6" s="32">
        <v>282</v>
      </c>
      <c r="I6" s="32">
        <v>397</v>
      </c>
      <c r="J6" s="32">
        <v>217</v>
      </c>
      <c r="K6" s="32">
        <v>329</v>
      </c>
      <c r="L6" s="9">
        <v>276</v>
      </c>
      <c r="M6" s="9"/>
      <c r="N6" s="9"/>
      <c r="O6" s="7"/>
      <c r="P6" s="32">
        <f t="shared" ref="P6:P47" si="0">SUM(D6:O6)</f>
        <v>4866</v>
      </c>
      <c r="Q6" s="10">
        <f t="shared" ref="Q6:Q48" si="1">IFERROR(P6/C6,0)</f>
        <v>1.4228070175438596</v>
      </c>
      <c r="S6" s="33"/>
      <c r="T6" s="12"/>
      <c r="U6" s="90"/>
      <c r="V6" s="86"/>
      <c r="W6" s="86"/>
      <c r="X6" s="86"/>
      <c r="Y6" s="86"/>
      <c r="Z6" s="86"/>
      <c r="AA6" s="86"/>
    </row>
    <row r="7" spans="1:27" ht="14.25" customHeight="1" x14ac:dyDescent="0.25">
      <c r="A7" s="13">
        <v>2</v>
      </c>
      <c r="B7" s="14" t="s">
        <v>25</v>
      </c>
      <c r="C7" s="34">
        <v>21548</v>
      </c>
      <c r="D7" s="34">
        <v>1715</v>
      </c>
      <c r="E7" s="34">
        <v>5317</v>
      </c>
      <c r="F7" s="34">
        <v>3736</v>
      </c>
      <c r="G7" s="34">
        <v>1539</v>
      </c>
      <c r="H7" s="34">
        <v>2181</v>
      </c>
      <c r="I7" s="34">
        <v>2562</v>
      </c>
      <c r="J7" s="34">
        <v>2303</v>
      </c>
      <c r="K7" s="34">
        <v>0</v>
      </c>
      <c r="L7" s="16">
        <v>110</v>
      </c>
      <c r="M7" s="16"/>
      <c r="N7" s="16"/>
      <c r="O7" s="14"/>
      <c r="P7" s="34">
        <f t="shared" si="0"/>
        <v>19463</v>
      </c>
      <c r="Q7" s="17">
        <f t="shared" si="1"/>
        <v>0.90323927974754037</v>
      </c>
      <c r="S7" s="33"/>
      <c r="T7" s="12"/>
      <c r="U7" s="87"/>
      <c r="V7" s="87"/>
      <c r="W7" s="87"/>
      <c r="X7" s="87"/>
      <c r="Y7" s="87"/>
      <c r="Z7" s="87"/>
      <c r="AA7" s="87"/>
    </row>
    <row r="8" spans="1:27" ht="14.25" customHeight="1" x14ac:dyDescent="0.25">
      <c r="A8" s="13">
        <v>3</v>
      </c>
      <c r="B8" s="14" t="s">
        <v>26</v>
      </c>
      <c r="C8" s="34">
        <v>4464</v>
      </c>
      <c r="D8" s="34">
        <v>1504</v>
      </c>
      <c r="E8" s="34">
        <v>1002</v>
      </c>
      <c r="F8" s="34">
        <v>801</v>
      </c>
      <c r="G8" s="34">
        <v>109</v>
      </c>
      <c r="H8" s="34">
        <v>241</v>
      </c>
      <c r="I8" s="34">
        <v>448</v>
      </c>
      <c r="J8" s="34">
        <v>166</v>
      </c>
      <c r="K8" s="34">
        <v>221</v>
      </c>
      <c r="L8" s="16">
        <v>146</v>
      </c>
      <c r="M8" s="16"/>
      <c r="N8" s="16"/>
      <c r="O8" s="14"/>
      <c r="P8" s="34">
        <f t="shared" si="0"/>
        <v>4638</v>
      </c>
      <c r="Q8" s="17">
        <f t="shared" si="1"/>
        <v>1.038978494623656</v>
      </c>
      <c r="S8" s="33"/>
      <c r="T8" s="12"/>
      <c r="U8" s="83"/>
      <c r="V8" s="83"/>
      <c r="W8" s="83"/>
      <c r="X8" s="83"/>
      <c r="Y8" s="83"/>
      <c r="Z8" s="83"/>
      <c r="AA8" s="83"/>
    </row>
    <row r="9" spans="1:27" ht="14.25" customHeight="1" x14ac:dyDescent="0.25">
      <c r="A9" s="13">
        <v>4</v>
      </c>
      <c r="B9" s="14" t="s">
        <v>27</v>
      </c>
      <c r="C9" s="34">
        <v>22058</v>
      </c>
      <c r="D9" s="34">
        <v>323</v>
      </c>
      <c r="E9" s="34">
        <v>4567</v>
      </c>
      <c r="F9" s="34">
        <v>3446</v>
      </c>
      <c r="G9" s="34">
        <v>740</v>
      </c>
      <c r="H9" s="34">
        <v>1767</v>
      </c>
      <c r="I9" s="34">
        <v>1803</v>
      </c>
      <c r="J9" s="34">
        <v>967</v>
      </c>
      <c r="K9" s="34">
        <v>1622</v>
      </c>
      <c r="L9" s="16">
        <v>1373</v>
      </c>
      <c r="M9" s="16"/>
      <c r="N9" s="16"/>
      <c r="O9" s="14"/>
      <c r="P9" s="34">
        <f t="shared" si="0"/>
        <v>16608</v>
      </c>
      <c r="Q9" s="17">
        <f t="shared" si="1"/>
        <v>0.75292410916674224</v>
      </c>
      <c r="S9" s="33"/>
      <c r="T9" s="12"/>
      <c r="U9" s="91"/>
      <c r="V9" s="84"/>
      <c r="W9" s="84"/>
      <c r="X9" s="82"/>
      <c r="Y9" s="84"/>
      <c r="Z9" s="84"/>
      <c r="AA9" s="82"/>
    </row>
    <row r="10" spans="1:27" ht="14.25" customHeight="1" x14ac:dyDescent="0.25">
      <c r="A10" s="13">
        <v>5</v>
      </c>
      <c r="B10" s="14" t="s">
        <v>28</v>
      </c>
      <c r="C10" s="34">
        <v>21668</v>
      </c>
      <c r="D10" s="34">
        <v>2211</v>
      </c>
      <c r="E10" s="34">
        <v>5853</v>
      </c>
      <c r="F10" s="34">
        <v>2221</v>
      </c>
      <c r="G10" s="34">
        <v>1959</v>
      </c>
      <c r="H10" s="34">
        <v>2196</v>
      </c>
      <c r="I10" s="34">
        <v>2867</v>
      </c>
      <c r="J10" s="34">
        <v>2200</v>
      </c>
      <c r="K10" s="34">
        <v>0</v>
      </c>
      <c r="L10" s="16">
        <v>150</v>
      </c>
      <c r="M10" s="16"/>
      <c r="N10" s="16"/>
      <c r="O10" s="14"/>
      <c r="P10" s="34">
        <f t="shared" si="0"/>
        <v>19657</v>
      </c>
      <c r="Q10" s="17">
        <f t="shared" si="1"/>
        <v>0.90719032674912314</v>
      </c>
      <c r="S10" s="33"/>
      <c r="T10" s="12"/>
      <c r="U10" s="83"/>
      <c r="V10" s="83"/>
      <c r="W10" s="83"/>
      <c r="X10" s="83"/>
      <c r="Y10" s="83"/>
      <c r="Z10" s="83"/>
      <c r="AA10" s="83"/>
    </row>
    <row r="11" spans="1:27" ht="14.25" customHeight="1" x14ac:dyDescent="0.25">
      <c r="A11" s="13">
        <v>6</v>
      </c>
      <c r="B11" s="14" t="s">
        <v>29</v>
      </c>
      <c r="C11" s="34">
        <v>21752</v>
      </c>
      <c r="D11" s="34">
        <v>0</v>
      </c>
      <c r="E11" s="34">
        <v>6924</v>
      </c>
      <c r="F11" s="34">
        <v>286</v>
      </c>
      <c r="G11" s="34">
        <v>1928</v>
      </c>
      <c r="H11" s="34">
        <v>2203</v>
      </c>
      <c r="I11" s="34">
        <v>3285</v>
      </c>
      <c r="J11" s="34">
        <v>2079</v>
      </c>
      <c r="K11" s="34">
        <v>0</v>
      </c>
      <c r="L11" s="16">
        <v>1899</v>
      </c>
      <c r="M11" s="16"/>
      <c r="N11" s="16"/>
      <c r="O11" s="14"/>
      <c r="P11" s="34">
        <f t="shared" si="0"/>
        <v>18604</v>
      </c>
      <c r="Q11" s="17">
        <f t="shared" si="1"/>
        <v>0.85527767561603529</v>
      </c>
      <c r="S11" s="33"/>
      <c r="T11" s="12"/>
    </row>
    <row r="12" spans="1:27" ht="14.25" customHeight="1" x14ac:dyDescent="0.25">
      <c r="A12" s="13">
        <v>7</v>
      </c>
      <c r="B12" s="14" t="s">
        <v>30</v>
      </c>
      <c r="C12" s="34">
        <v>535</v>
      </c>
      <c r="D12" s="34">
        <v>0</v>
      </c>
      <c r="E12" s="34">
        <v>0</v>
      </c>
      <c r="F12" s="34">
        <v>227</v>
      </c>
      <c r="G12" s="34">
        <v>378</v>
      </c>
      <c r="H12" s="34">
        <v>0</v>
      </c>
      <c r="I12" s="34">
        <v>0</v>
      </c>
      <c r="J12" s="34">
        <v>66</v>
      </c>
      <c r="K12" s="34">
        <v>91</v>
      </c>
      <c r="L12" s="16">
        <v>88</v>
      </c>
      <c r="M12" s="16"/>
      <c r="N12" s="16"/>
      <c r="O12" s="14"/>
      <c r="P12" s="34">
        <f t="shared" si="0"/>
        <v>850</v>
      </c>
      <c r="Q12" s="17">
        <f t="shared" si="1"/>
        <v>1.5887850467289719</v>
      </c>
      <c r="S12" s="33"/>
      <c r="T12" s="12"/>
      <c r="V12" s="12"/>
      <c r="W12" s="12"/>
      <c r="X12" s="12"/>
      <c r="Y12" s="12"/>
      <c r="Z12" s="12"/>
      <c r="AA12" s="12"/>
    </row>
    <row r="13" spans="1:27" ht="14.25" customHeight="1" x14ac:dyDescent="0.25">
      <c r="A13" s="13">
        <v>8</v>
      </c>
      <c r="B13" s="14" t="s">
        <v>31</v>
      </c>
      <c r="C13" s="34">
        <v>15667</v>
      </c>
      <c r="D13" s="34">
        <v>3530</v>
      </c>
      <c r="E13" s="34">
        <v>2883</v>
      </c>
      <c r="F13" s="34">
        <v>1801</v>
      </c>
      <c r="G13" s="34">
        <v>3307</v>
      </c>
      <c r="H13" s="34">
        <v>1562</v>
      </c>
      <c r="I13" s="34">
        <v>2007</v>
      </c>
      <c r="J13" s="34">
        <v>2044</v>
      </c>
      <c r="K13" s="34">
        <v>996</v>
      </c>
      <c r="L13" s="16">
        <v>807</v>
      </c>
      <c r="M13" s="16"/>
      <c r="N13" s="16"/>
      <c r="O13" s="14"/>
      <c r="P13" s="34">
        <f t="shared" si="0"/>
        <v>18937</v>
      </c>
      <c r="Q13" s="17">
        <f t="shared" si="1"/>
        <v>1.20871896342631</v>
      </c>
      <c r="S13" s="33"/>
      <c r="T13" s="12"/>
    </row>
    <row r="14" spans="1:27" ht="14.25" customHeight="1" x14ac:dyDescent="0.25">
      <c r="A14" s="13">
        <v>9</v>
      </c>
      <c r="B14" s="14" t="s">
        <v>32</v>
      </c>
      <c r="C14" s="34">
        <v>5024</v>
      </c>
      <c r="D14" s="34">
        <v>128</v>
      </c>
      <c r="E14" s="34">
        <v>161</v>
      </c>
      <c r="F14" s="34">
        <v>1264</v>
      </c>
      <c r="G14" s="34">
        <v>126</v>
      </c>
      <c r="H14" s="34">
        <v>391</v>
      </c>
      <c r="I14" s="34">
        <v>694</v>
      </c>
      <c r="J14" s="34">
        <v>644</v>
      </c>
      <c r="K14" s="34">
        <v>416</v>
      </c>
      <c r="L14" s="16">
        <v>373</v>
      </c>
      <c r="M14" s="16"/>
      <c r="N14" s="16"/>
      <c r="O14" s="14"/>
      <c r="P14" s="34">
        <f t="shared" si="0"/>
        <v>4197</v>
      </c>
      <c r="Q14" s="17">
        <f t="shared" si="1"/>
        <v>0.83539012738853502</v>
      </c>
      <c r="S14" s="33"/>
      <c r="T14" s="12"/>
      <c r="Y14" s="1"/>
    </row>
    <row r="15" spans="1:27" ht="14.25" customHeight="1" x14ac:dyDescent="0.25">
      <c r="A15" s="13">
        <v>10</v>
      </c>
      <c r="B15" s="14" t="s">
        <v>33</v>
      </c>
      <c r="C15" s="34">
        <v>13231</v>
      </c>
      <c r="D15" s="34">
        <v>1412</v>
      </c>
      <c r="E15" s="34">
        <v>804</v>
      </c>
      <c r="F15" s="34">
        <v>1928</v>
      </c>
      <c r="G15" s="34">
        <v>1551</v>
      </c>
      <c r="H15" s="34">
        <v>1311</v>
      </c>
      <c r="I15" s="34">
        <v>1665</v>
      </c>
      <c r="J15" s="34">
        <v>1036</v>
      </c>
      <c r="K15" s="34">
        <v>695</v>
      </c>
      <c r="L15" s="16">
        <v>1735</v>
      </c>
      <c r="M15" s="16"/>
      <c r="N15" s="16"/>
      <c r="O15" s="14"/>
      <c r="P15" s="34">
        <f t="shared" si="0"/>
        <v>12137</v>
      </c>
      <c r="Q15" s="17">
        <f t="shared" si="1"/>
        <v>0.91731539566170361</v>
      </c>
      <c r="S15" s="33"/>
      <c r="T15" s="12"/>
    </row>
    <row r="16" spans="1:27" ht="14.25" customHeight="1" x14ac:dyDescent="0.25">
      <c r="A16" s="13">
        <v>11</v>
      </c>
      <c r="B16" s="14" t="s">
        <v>34</v>
      </c>
      <c r="C16" s="34">
        <v>10040</v>
      </c>
      <c r="D16" s="34">
        <v>38</v>
      </c>
      <c r="E16" s="34">
        <v>37</v>
      </c>
      <c r="F16" s="34">
        <v>377</v>
      </c>
      <c r="G16" s="34">
        <v>0</v>
      </c>
      <c r="H16" s="34">
        <v>0</v>
      </c>
      <c r="I16" s="34">
        <v>0</v>
      </c>
      <c r="J16" s="34">
        <v>0</v>
      </c>
      <c r="K16" s="34">
        <v>183</v>
      </c>
      <c r="L16" s="16">
        <v>206</v>
      </c>
      <c r="M16" s="16"/>
      <c r="N16" s="16"/>
      <c r="O16" s="14"/>
      <c r="P16" s="34">
        <f t="shared" si="0"/>
        <v>841</v>
      </c>
      <c r="Q16" s="17">
        <f t="shared" si="1"/>
        <v>8.3764940239043822E-2</v>
      </c>
      <c r="S16" s="33"/>
      <c r="T16" s="12"/>
    </row>
    <row r="17" spans="1:20" ht="14.25" customHeight="1" x14ac:dyDescent="0.25">
      <c r="A17" s="13">
        <v>12</v>
      </c>
      <c r="B17" s="14" t="s">
        <v>35</v>
      </c>
      <c r="C17" s="34">
        <v>4276</v>
      </c>
      <c r="D17" s="34">
        <v>478</v>
      </c>
      <c r="E17" s="34">
        <v>444</v>
      </c>
      <c r="F17" s="34">
        <v>383</v>
      </c>
      <c r="G17" s="34">
        <v>369</v>
      </c>
      <c r="H17" s="34">
        <v>427</v>
      </c>
      <c r="I17" s="34">
        <v>498</v>
      </c>
      <c r="J17" s="34">
        <v>325</v>
      </c>
      <c r="K17" s="34">
        <v>431</v>
      </c>
      <c r="L17" s="16">
        <v>140</v>
      </c>
      <c r="M17" s="16"/>
      <c r="N17" s="16"/>
      <c r="O17" s="14"/>
      <c r="P17" s="34">
        <f t="shared" si="0"/>
        <v>3495</v>
      </c>
      <c r="Q17" s="17">
        <f t="shared" si="1"/>
        <v>0.81735266604303092</v>
      </c>
      <c r="S17" s="33"/>
      <c r="T17" s="12"/>
    </row>
    <row r="18" spans="1:20" ht="14.25" customHeight="1" x14ac:dyDescent="0.25">
      <c r="A18" s="13">
        <v>13</v>
      </c>
      <c r="B18" s="14" t="s">
        <v>36</v>
      </c>
      <c r="C18" s="34">
        <v>6100</v>
      </c>
      <c r="D18" s="34">
        <v>0</v>
      </c>
      <c r="E18" s="34">
        <v>293</v>
      </c>
      <c r="F18" s="34">
        <v>219</v>
      </c>
      <c r="G18" s="34">
        <v>0</v>
      </c>
      <c r="H18" s="34">
        <v>364</v>
      </c>
      <c r="I18" s="34">
        <v>376</v>
      </c>
      <c r="J18" s="34">
        <v>0</v>
      </c>
      <c r="K18" s="34">
        <v>147</v>
      </c>
      <c r="L18" s="16">
        <v>183</v>
      </c>
      <c r="M18" s="16"/>
      <c r="N18" s="16"/>
      <c r="O18" s="14"/>
      <c r="P18" s="34">
        <f t="shared" si="0"/>
        <v>1582</v>
      </c>
      <c r="Q18" s="17">
        <f t="shared" si="1"/>
        <v>0.25934426229508195</v>
      </c>
      <c r="S18" s="33"/>
      <c r="T18" s="12"/>
    </row>
    <row r="19" spans="1:20" ht="14.25" customHeight="1" x14ac:dyDescent="0.25">
      <c r="A19" s="13">
        <v>14</v>
      </c>
      <c r="B19" s="14" t="s">
        <v>37</v>
      </c>
      <c r="C19" s="34">
        <v>6541</v>
      </c>
      <c r="D19" s="34">
        <v>877</v>
      </c>
      <c r="E19" s="34">
        <v>494</v>
      </c>
      <c r="F19" s="34">
        <v>447</v>
      </c>
      <c r="G19" s="34">
        <v>583</v>
      </c>
      <c r="H19" s="34">
        <v>340</v>
      </c>
      <c r="I19" s="34">
        <v>383</v>
      </c>
      <c r="J19" s="34">
        <v>303</v>
      </c>
      <c r="K19" s="34">
        <v>355</v>
      </c>
      <c r="L19" s="16">
        <v>207</v>
      </c>
      <c r="M19" s="16"/>
      <c r="N19" s="16"/>
      <c r="O19" s="14"/>
      <c r="P19" s="34">
        <f t="shared" si="0"/>
        <v>3989</v>
      </c>
      <c r="Q19" s="17">
        <f t="shared" si="1"/>
        <v>0.60984558935942512</v>
      </c>
      <c r="S19" s="33"/>
      <c r="T19" s="12"/>
    </row>
    <row r="20" spans="1:20" ht="14.25" customHeight="1" x14ac:dyDescent="0.25">
      <c r="A20" s="13">
        <v>15</v>
      </c>
      <c r="B20" s="14" t="s">
        <v>38</v>
      </c>
      <c r="C20" s="34">
        <v>9945</v>
      </c>
      <c r="D20" s="34">
        <v>376</v>
      </c>
      <c r="E20" s="34">
        <v>378</v>
      </c>
      <c r="F20" s="34">
        <v>0</v>
      </c>
      <c r="G20" s="34">
        <v>889</v>
      </c>
      <c r="H20" s="34">
        <v>376</v>
      </c>
      <c r="I20" s="34">
        <v>289</v>
      </c>
      <c r="J20" s="34">
        <v>0</v>
      </c>
      <c r="K20" s="34">
        <v>184</v>
      </c>
      <c r="L20" s="16">
        <v>111</v>
      </c>
      <c r="M20" s="16"/>
      <c r="N20" s="16"/>
      <c r="O20" s="14"/>
      <c r="P20" s="34">
        <f t="shared" si="0"/>
        <v>2603</v>
      </c>
      <c r="Q20" s="17">
        <f t="shared" si="1"/>
        <v>0.26173956762192058</v>
      </c>
      <c r="S20" s="33"/>
      <c r="T20" s="12"/>
    </row>
    <row r="21" spans="1:20" ht="14.25" customHeight="1" x14ac:dyDescent="0.25">
      <c r="A21" s="13">
        <v>16</v>
      </c>
      <c r="B21" s="14" t="s">
        <v>39</v>
      </c>
      <c r="C21" s="34">
        <v>10599</v>
      </c>
      <c r="D21" s="34">
        <v>790</v>
      </c>
      <c r="E21" s="34">
        <v>858</v>
      </c>
      <c r="F21" s="34">
        <v>673</v>
      </c>
      <c r="G21" s="34">
        <v>938</v>
      </c>
      <c r="H21" s="34">
        <v>767</v>
      </c>
      <c r="I21" s="34">
        <v>700</v>
      </c>
      <c r="J21" s="34">
        <v>614</v>
      </c>
      <c r="K21" s="34">
        <v>569</v>
      </c>
      <c r="L21" s="16">
        <v>348</v>
      </c>
      <c r="M21" s="16"/>
      <c r="N21" s="16"/>
      <c r="O21" s="14"/>
      <c r="P21" s="34">
        <f t="shared" si="0"/>
        <v>6257</v>
      </c>
      <c r="Q21" s="17">
        <f t="shared" si="1"/>
        <v>0.5903387111991697</v>
      </c>
      <c r="S21" s="33"/>
      <c r="T21" s="12"/>
    </row>
    <row r="22" spans="1:20" ht="14.25" customHeight="1" x14ac:dyDescent="0.25">
      <c r="A22" s="13">
        <v>17</v>
      </c>
      <c r="B22" s="14" t="s">
        <v>40</v>
      </c>
      <c r="C22" s="34">
        <v>17799</v>
      </c>
      <c r="D22" s="34">
        <v>76</v>
      </c>
      <c r="E22" s="34">
        <v>2690</v>
      </c>
      <c r="F22" s="34">
        <v>4391</v>
      </c>
      <c r="G22" s="34">
        <v>2550</v>
      </c>
      <c r="H22" s="34">
        <v>2188</v>
      </c>
      <c r="I22" s="34">
        <v>1451</v>
      </c>
      <c r="J22" s="34">
        <v>2007</v>
      </c>
      <c r="K22" s="34">
        <v>374</v>
      </c>
      <c r="L22" s="16">
        <v>1816</v>
      </c>
      <c r="M22" s="16"/>
      <c r="N22" s="16"/>
      <c r="O22" s="14"/>
      <c r="P22" s="34">
        <f t="shared" si="0"/>
        <v>17543</v>
      </c>
      <c r="Q22" s="17">
        <f t="shared" si="1"/>
        <v>0.98561716950390477</v>
      </c>
      <c r="S22" s="33"/>
      <c r="T22" s="12"/>
    </row>
    <row r="23" spans="1:20" ht="14.25" customHeight="1" x14ac:dyDescent="0.25">
      <c r="A23" s="13">
        <v>18</v>
      </c>
      <c r="B23" s="14" t="s">
        <v>41</v>
      </c>
      <c r="C23" s="34">
        <v>4819</v>
      </c>
      <c r="D23" s="34">
        <v>0</v>
      </c>
      <c r="E23" s="34">
        <v>1224</v>
      </c>
      <c r="F23" s="34">
        <v>2132</v>
      </c>
      <c r="G23" s="34">
        <v>568</v>
      </c>
      <c r="H23" s="34">
        <v>605</v>
      </c>
      <c r="I23" s="34">
        <v>491</v>
      </c>
      <c r="J23" s="34">
        <v>337</v>
      </c>
      <c r="K23" s="34">
        <v>548</v>
      </c>
      <c r="L23" s="16">
        <v>30</v>
      </c>
      <c r="M23" s="16"/>
      <c r="N23" s="16"/>
      <c r="O23" s="14"/>
      <c r="P23" s="34">
        <f t="shared" si="0"/>
        <v>5935</v>
      </c>
      <c r="Q23" s="17">
        <f t="shared" si="1"/>
        <v>1.2315833160406724</v>
      </c>
      <c r="T23" s="12"/>
    </row>
    <row r="24" spans="1:20" ht="14.25" customHeight="1" x14ac:dyDescent="0.25">
      <c r="A24" s="13">
        <v>19</v>
      </c>
      <c r="B24" s="14" t="s">
        <v>42</v>
      </c>
      <c r="C24" s="34">
        <v>12367</v>
      </c>
      <c r="D24" s="34">
        <v>921</v>
      </c>
      <c r="E24" s="34">
        <v>1059</v>
      </c>
      <c r="F24" s="34">
        <v>2391</v>
      </c>
      <c r="G24" s="34">
        <v>834</v>
      </c>
      <c r="H24" s="34">
        <v>825</v>
      </c>
      <c r="I24" s="34">
        <v>1447</v>
      </c>
      <c r="J24" s="34">
        <v>1396</v>
      </c>
      <c r="K24" s="34">
        <v>916</v>
      </c>
      <c r="L24" s="16">
        <v>1147</v>
      </c>
      <c r="M24" s="16"/>
      <c r="N24" s="16"/>
      <c r="O24" s="14"/>
      <c r="P24" s="34">
        <f t="shared" si="0"/>
        <v>10936</v>
      </c>
      <c r="Q24" s="17">
        <f t="shared" si="1"/>
        <v>0.88428883318508933</v>
      </c>
      <c r="T24" s="12"/>
    </row>
    <row r="25" spans="1:20" ht="14.25" customHeight="1" x14ac:dyDescent="0.25">
      <c r="A25" s="13">
        <v>20</v>
      </c>
      <c r="B25" s="14" t="s">
        <v>43</v>
      </c>
      <c r="C25" s="34">
        <v>20308</v>
      </c>
      <c r="D25" s="34">
        <v>944</v>
      </c>
      <c r="E25" s="34">
        <v>630</v>
      </c>
      <c r="F25" s="34">
        <v>53</v>
      </c>
      <c r="G25" s="34">
        <v>1823</v>
      </c>
      <c r="H25" s="34">
        <v>755</v>
      </c>
      <c r="I25" s="34">
        <v>376</v>
      </c>
      <c r="J25" s="34">
        <v>0</v>
      </c>
      <c r="K25" s="34">
        <v>0</v>
      </c>
      <c r="L25" s="16">
        <v>111</v>
      </c>
      <c r="M25" s="16"/>
      <c r="N25" s="16"/>
      <c r="O25" s="14"/>
      <c r="P25" s="34">
        <f t="shared" si="0"/>
        <v>4692</v>
      </c>
      <c r="Q25" s="17">
        <f t="shared" si="1"/>
        <v>0.23104195390978924</v>
      </c>
      <c r="T25" s="12"/>
    </row>
    <row r="26" spans="1:20" ht="14.25" customHeight="1" x14ac:dyDescent="0.25">
      <c r="A26" s="13">
        <v>21</v>
      </c>
      <c r="B26" s="14" t="s">
        <v>44</v>
      </c>
      <c r="C26" s="34">
        <v>4764</v>
      </c>
      <c r="D26" s="34">
        <v>381</v>
      </c>
      <c r="E26" s="34">
        <v>474</v>
      </c>
      <c r="F26" s="34">
        <v>1012</v>
      </c>
      <c r="G26" s="34">
        <v>487</v>
      </c>
      <c r="H26" s="34">
        <v>554</v>
      </c>
      <c r="I26" s="34">
        <v>922</v>
      </c>
      <c r="J26" s="34">
        <v>142</v>
      </c>
      <c r="K26" s="34">
        <v>492</v>
      </c>
      <c r="L26" s="16">
        <v>485</v>
      </c>
      <c r="M26" s="16"/>
      <c r="N26" s="16"/>
      <c r="O26" s="14"/>
      <c r="P26" s="34">
        <f t="shared" si="0"/>
        <v>4949</v>
      </c>
      <c r="Q26" s="17">
        <f t="shared" si="1"/>
        <v>1.0388329135180521</v>
      </c>
      <c r="T26" s="12"/>
    </row>
    <row r="27" spans="1:20" ht="14.25" customHeight="1" x14ac:dyDescent="0.25">
      <c r="A27" s="13">
        <v>22</v>
      </c>
      <c r="B27" s="14" t="s">
        <v>45</v>
      </c>
      <c r="C27" s="34">
        <v>7113</v>
      </c>
      <c r="D27" s="34">
        <v>364</v>
      </c>
      <c r="E27" s="34">
        <v>450</v>
      </c>
      <c r="F27" s="34">
        <v>1125</v>
      </c>
      <c r="G27" s="34">
        <v>646</v>
      </c>
      <c r="H27" s="34">
        <v>1222</v>
      </c>
      <c r="I27" s="34">
        <v>1276</v>
      </c>
      <c r="J27" s="34">
        <v>685</v>
      </c>
      <c r="K27" s="34">
        <v>483</v>
      </c>
      <c r="L27" s="16">
        <v>535</v>
      </c>
      <c r="M27" s="16"/>
      <c r="N27" s="16"/>
      <c r="O27" s="14"/>
      <c r="P27" s="34">
        <f t="shared" si="0"/>
        <v>6786</v>
      </c>
      <c r="Q27" s="17">
        <f t="shared" si="1"/>
        <v>0.954027836355968</v>
      </c>
      <c r="T27" s="12"/>
    </row>
    <row r="28" spans="1:20" ht="14.25" customHeight="1" x14ac:dyDescent="0.25">
      <c r="A28" s="13">
        <v>23</v>
      </c>
      <c r="B28" s="14" t="s">
        <v>46</v>
      </c>
      <c r="C28" s="34">
        <v>7431</v>
      </c>
      <c r="D28" s="34">
        <v>304</v>
      </c>
      <c r="E28" s="34">
        <v>466</v>
      </c>
      <c r="F28" s="34">
        <v>1508</v>
      </c>
      <c r="G28" s="34">
        <v>685</v>
      </c>
      <c r="H28" s="34">
        <v>1087</v>
      </c>
      <c r="I28" s="34">
        <v>1201</v>
      </c>
      <c r="J28" s="34">
        <v>274</v>
      </c>
      <c r="K28" s="34">
        <v>543</v>
      </c>
      <c r="L28" s="16">
        <v>722</v>
      </c>
      <c r="M28" s="16"/>
      <c r="N28" s="16"/>
      <c r="O28" s="14"/>
      <c r="P28" s="34">
        <f t="shared" si="0"/>
        <v>6790</v>
      </c>
      <c r="Q28" s="17">
        <f t="shared" si="1"/>
        <v>0.91373973893150318</v>
      </c>
      <c r="T28" s="12"/>
    </row>
    <row r="29" spans="1:20" ht="14.25" customHeight="1" x14ac:dyDescent="0.25">
      <c r="A29" s="13">
        <v>24</v>
      </c>
      <c r="B29" s="14" t="s">
        <v>47</v>
      </c>
      <c r="C29" s="34">
        <v>4127</v>
      </c>
      <c r="D29" s="34">
        <v>0</v>
      </c>
      <c r="E29" s="34">
        <v>587</v>
      </c>
      <c r="F29" s="34">
        <v>0</v>
      </c>
      <c r="G29" s="34">
        <v>0</v>
      </c>
      <c r="H29" s="34">
        <v>0</v>
      </c>
      <c r="I29" s="34">
        <v>75</v>
      </c>
      <c r="J29" s="34">
        <v>0</v>
      </c>
      <c r="K29" s="34">
        <v>556</v>
      </c>
      <c r="L29" s="16">
        <v>535</v>
      </c>
      <c r="M29" s="16"/>
      <c r="N29" s="16"/>
      <c r="O29" s="14"/>
      <c r="P29" s="34">
        <f t="shared" si="0"/>
        <v>1753</v>
      </c>
      <c r="Q29" s="17">
        <f t="shared" si="1"/>
        <v>0.42476375090865037</v>
      </c>
      <c r="T29" s="12"/>
    </row>
    <row r="30" spans="1:20" ht="14.25" customHeight="1" x14ac:dyDescent="0.25">
      <c r="A30" s="13">
        <v>25</v>
      </c>
      <c r="B30" s="14" t="s">
        <v>48</v>
      </c>
      <c r="C30" s="34">
        <v>0</v>
      </c>
      <c r="D30" s="34">
        <v>0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14</v>
      </c>
      <c r="L30" s="16">
        <v>0</v>
      </c>
      <c r="M30" s="16"/>
      <c r="N30" s="16"/>
      <c r="O30" s="14"/>
      <c r="P30" s="34">
        <f t="shared" si="0"/>
        <v>14</v>
      </c>
      <c r="Q30" s="17">
        <f t="shared" si="1"/>
        <v>0</v>
      </c>
      <c r="T30" s="12"/>
    </row>
    <row r="31" spans="1:20" ht="14.25" customHeight="1" x14ac:dyDescent="0.25">
      <c r="A31" s="13">
        <v>26</v>
      </c>
      <c r="B31" s="14" t="s">
        <v>49</v>
      </c>
      <c r="C31" s="34">
        <v>1283</v>
      </c>
      <c r="D31" s="34">
        <v>0</v>
      </c>
      <c r="E31" s="34">
        <v>0</v>
      </c>
      <c r="F31" s="34">
        <v>0</v>
      </c>
      <c r="G31" s="34">
        <v>150</v>
      </c>
      <c r="H31" s="34">
        <v>257</v>
      </c>
      <c r="I31" s="34">
        <v>195</v>
      </c>
      <c r="J31" s="34">
        <v>130</v>
      </c>
      <c r="K31" s="34">
        <v>697</v>
      </c>
      <c r="L31" s="16">
        <v>0</v>
      </c>
      <c r="M31" s="16"/>
      <c r="N31" s="16"/>
      <c r="O31" s="14"/>
      <c r="P31" s="34">
        <f t="shared" si="0"/>
        <v>1429</v>
      </c>
      <c r="Q31" s="17">
        <f t="shared" si="1"/>
        <v>1.1137957911145753</v>
      </c>
      <c r="T31" s="12"/>
    </row>
    <row r="32" spans="1:20" ht="14.25" customHeight="1" x14ac:dyDescent="0.25">
      <c r="A32" s="13">
        <v>27</v>
      </c>
      <c r="B32" s="14" t="s">
        <v>50</v>
      </c>
      <c r="C32" s="34">
        <v>24333</v>
      </c>
      <c r="D32" s="34">
        <v>1030</v>
      </c>
      <c r="E32" s="34">
        <v>3815</v>
      </c>
      <c r="F32" s="34">
        <v>3277</v>
      </c>
      <c r="G32" s="34">
        <v>2277</v>
      </c>
      <c r="H32" s="34">
        <v>2489</v>
      </c>
      <c r="I32" s="34">
        <v>3161</v>
      </c>
      <c r="J32" s="34">
        <v>2459</v>
      </c>
      <c r="K32" s="34">
        <v>1795</v>
      </c>
      <c r="L32" s="16">
        <v>1290</v>
      </c>
      <c r="M32" s="16"/>
      <c r="N32" s="16"/>
      <c r="O32" s="14"/>
      <c r="P32" s="34">
        <f t="shared" si="0"/>
        <v>21593</v>
      </c>
      <c r="Q32" s="17">
        <f t="shared" si="1"/>
        <v>0.88739571774955817</v>
      </c>
      <c r="T32" s="12"/>
    </row>
    <row r="33" spans="1:20" ht="14.25" customHeight="1" x14ac:dyDescent="0.25">
      <c r="A33" s="13">
        <v>28</v>
      </c>
      <c r="B33" s="14" t="s">
        <v>51</v>
      </c>
      <c r="C33" s="34">
        <v>17366</v>
      </c>
      <c r="D33" s="34">
        <v>541</v>
      </c>
      <c r="E33" s="34">
        <v>2582</v>
      </c>
      <c r="F33" s="34">
        <v>1622</v>
      </c>
      <c r="G33" s="34">
        <v>958</v>
      </c>
      <c r="H33" s="34">
        <v>2444</v>
      </c>
      <c r="I33" s="34">
        <v>1550</v>
      </c>
      <c r="J33" s="34">
        <v>1844</v>
      </c>
      <c r="K33" s="34">
        <v>983</v>
      </c>
      <c r="L33" s="16">
        <v>752</v>
      </c>
      <c r="M33" s="16"/>
      <c r="N33" s="16"/>
      <c r="O33" s="14"/>
      <c r="P33" s="34">
        <f t="shared" si="0"/>
        <v>13276</v>
      </c>
      <c r="Q33" s="17">
        <f t="shared" si="1"/>
        <v>0.76448232177818731</v>
      </c>
      <c r="T33" s="12"/>
    </row>
    <row r="34" spans="1:20" ht="14.25" customHeight="1" x14ac:dyDescent="0.25">
      <c r="A34" s="13">
        <v>29</v>
      </c>
      <c r="B34" s="14" t="s">
        <v>52</v>
      </c>
      <c r="C34" s="34">
        <v>12766</v>
      </c>
      <c r="D34" s="34">
        <v>1609</v>
      </c>
      <c r="E34" s="34">
        <v>1360</v>
      </c>
      <c r="F34" s="34">
        <v>2132</v>
      </c>
      <c r="G34" s="34">
        <v>1110</v>
      </c>
      <c r="H34" s="34">
        <v>0</v>
      </c>
      <c r="I34" s="34">
        <v>2989</v>
      </c>
      <c r="J34" s="34">
        <v>1279</v>
      </c>
      <c r="K34" s="34">
        <v>0</v>
      </c>
      <c r="L34" s="16">
        <v>0</v>
      </c>
      <c r="M34" s="16"/>
      <c r="N34" s="16"/>
      <c r="O34" s="14"/>
      <c r="P34" s="34">
        <f t="shared" si="0"/>
        <v>10479</v>
      </c>
      <c r="Q34" s="17">
        <f t="shared" si="1"/>
        <v>0.82085226382578724</v>
      </c>
      <c r="T34" s="12"/>
    </row>
    <row r="35" spans="1:20" ht="14.25" customHeight="1" x14ac:dyDescent="0.25">
      <c r="A35" s="13">
        <v>30</v>
      </c>
      <c r="B35" s="14" t="s">
        <v>53</v>
      </c>
      <c r="C35" s="34">
        <v>13854</v>
      </c>
      <c r="D35" s="34">
        <v>90</v>
      </c>
      <c r="E35" s="34">
        <v>2290</v>
      </c>
      <c r="F35" s="34">
        <v>1486</v>
      </c>
      <c r="G35" s="34">
        <v>127</v>
      </c>
      <c r="H35" s="34">
        <v>1429</v>
      </c>
      <c r="I35" s="34">
        <v>1757</v>
      </c>
      <c r="J35" s="34">
        <v>1292</v>
      </c>
      <c r="K35" s="34">
        <v>0</v>
      </c>
      <c r="L35" s="16">
        <v>0</v>
      </c>
      <c r="M35" s="16"/>
      <c r="N35" s="16"/>
      <c r="O35" s="14"/>
      <c r="P35" s="34">
        <f t="shared" si="0"/>
        <v>8471</v>
      </c>
      <c r="Q35" s="17">
        <f t="shared" si="1"/>
        <v>0.61144795726865886</v>
      </c>
      <c r="T35" s="12"/>
    </row>
    <row r="36" spans="1:20" ht="14.25" customHeight="1" x14ac:dyDescent="0.25">
      <c r="A36" s="13">
        <v>31</v>
      </c>
      <c r="B36" s="14" t="s">
        <v>54</v>
      </c>
      <c r="C36" s="34">
        <v>21216</v>
      </c>
      <c r="D36" s="34">
        <v>1797</v>
      </c>
      <c r="E36" s="34">
        <v>2645</v>
      </c>
      <c r="F36" s="34">
        <v>3240</v>
      </c>
      <c r="G36" s="34">
        <v>1982</v>
      </c>
      <c r="H36" s="34">
        <v>2151</v>
      </c>
      <c r="I36" s="34">
        <v>2253</v>
      </c>
      <c r="J36" s="34">
        <v>2213</v>
      </c>
      <c r="K36" s="34">
        <v>0</v>
      </c>
      <c r="L36" s="16">
        <v>732</v>
      </c>
      <c r="M36" s="16"/>
      <c r="N36" s="16"/>
      <c r="O36" s="14"/>
      <c r="P36" s="34">
        <f t="shared" si="0"/>
        <v>17013</v>
      </c>
      <c r="Q36" s="17">
        <f t="shared" si="1"/>
        <v>0.80189479638009054</v>
      </c>
      <c r="T36" s="12"/>
    </row>
    <row r="37" spans="1:20" ht="14.25" customHeight="1" x14ac:dyDescent="0.25">
      <c r="A37" s="13">
        <v>32</v>
      </c>
      <c r="B37" s="14" t="s">
        <v>55</v>
      </c>
      <c r="C37" s="34">
        <v>16251</v>
      </c>
      <c r="D37" s="34">
        <v>1639</v>
      </c>
      <c r="E37" s="34">
        <v>2536</v>
      </c>
      <c r="F37" s="34">
        <v>3439</v>
      </c>
      <c r="G37" s="34">
        <v>740</v>
      </c>
      <c r="H37" s="34">
        <v>1647</v>
      </c>
      <c r="I37" s="34">
        <v>2141</v>
      </c>
      <c r="J37" s="34">
        <v>1668</v>
      </c>
      <c r="K37" s="34">
        <v>0</v>
      </c>
      <c r="L37" s="16">
        <v>554</v>
      </c>
      <c r="M37" s="16"/>
      <c r="N37" s="16"/>
      <c r="O37" s="14"/>
      <c r="P37" s="34">
        <f t="shared" si="0"/>
        <v>14364</v>
      </c>
      <c r="Q37" s="17">
        <f t="shared" si="1"/>
        <v>0.88388406867269709</v>
      </c>
      <c r="T37" s="12"/>
    </row>
    <row r="38" spans="1:20" ht="14.25" customHeight="1" x14ac:dyDescent="0.25">
      <c r="A38" s="13">
        <v>33</v>
      </c>
      <c r="B38" s="14" t="s">
        <v>56</v>
      </c>
      <c r="C38" s="34">
        <v>23673</v>
      </c>
      <c r="D38" s="34">
        <v>3242</v>
      </c>
      <c r="E38" s="34">
        <v>7289</v>
      </c>
      <c r="F38" s="34">
        <v>4603</v>
      </c>
      <c r="G38" s="34">
        <v>0</v>
      </c>
      <c r="H38" s="34">
        <v>3148</v>
      </c>
      <c r="I38" s="34">
        <v>3941</v>
      </c>
      <c r="J38" s="34">
        <v>1129</v>
      </c>
      <c r="K38" s="34">
        <v>0</v>
      </c>
      <c r="L38" s="16">
        <v>0</v>
      </c>
      <c r="M38" s="16"/>
      <c r="N38" s="16"/>
      <c r="O38" s="14"/>
      <c r="P38" s="34">
        <f t="shared" si="0"/>
        <v>23352</v>
      </c>
      <c r="Q38" s="17">
        <f t="shared" si="1"/>
        <v>0.98644024838423516</v>
      </c>
      <c r="T38" s="12"/>
    </row>
    <row r="39" spans="1:20" ht="14.25" customHeight="1" x14ac:dyDescent="0.25">
      <c r="A39" s="13">
        <v>34</v>
      </c>
      <c r="B39" s="14" t="s">
        <v>57</v>
      </c>
      <c r="C39" s="34">
        <v>12821</v>
      </c>
      <c r="D39" s="34">
        <v>1570</v>
      </c>
      <c r="E39" s="34">
        <v>1342</v>
      </c>
      <c r="F39" s="34">
        <v>3838</v>
      </c>
      <c r="G39" s="34">
        <v>1188</v>
      </c>
      <c r="H39" s="34">
        <v>1358</v>
      </c>
      <c r="I39" s="34">
        <v>1742</v>
      </c>
      <c r="J39" s="34">
        <v>1364</v>
      </c>
      <c r="K39" s="34">
        <v>0</v>
      </c>
      <c r="L39" s="16">
        <v>795</v>
      </c>
      <c r="M39" s="16"/>
      <c r="N39" s="16"/>
      <c r="O39" s="14"/>
      <c r="P39" s="34">
        <f t="shared" si="0"/>
        <v>13197</v>
      </c>
      <c r="Q39" s="17">
        <f t="shared" si="1"/>
        <v>1.0293268855783479</v>
      </c>
      <c r="T39" s="12"/>
    </row>
    <row r="40" spans="1:20" ht="14.25" customHeight="1" x14ac:dyDescent="0.25">
      <c r="A40" s="13">
        <v>35</v>
      </c>
      <c r="B40" s="14" t="s">
        <v>58</v>
      </c>
      <c r="C40" s="34">
        <v>9152</v>
      </c>
      <c r="D40" s="34">
        <v>1554</v>
      </c>
      <c r="E40" s="34">
        <v>1104</v>
      </c>
      <c r="F40" s="34">
        <v>2026</v>
      </c>
      <c r="G40" s="34">
        <v>391</v>
      </c>
      <c r="H40" s="34">
        <v>765</v>
      </c>
      <c r="I40" s="34">
        <v>559</v>
      </c>
      <c r="J40" s="34">
        <v>402</v>
      </c>
      <c r="K40" s="34">
        <v>116</v>
      </c>
      <c r="L40" s="16">
        <v>266</v>
      </c>
      <c r="M40" s="16"/>
      <c r="N40" s="16"/>
      <c r="O40" s="14"/>
      <c r="P40" s="34">
        <f t="shared" si="0"/>
        <v>7183</v>
      </c>
      <c r="Q40" s="17">
        <f t="shared" si="1"/>
        <v>0.78485576923076927</v>
      </c>
      <c r="T40" s="12"/>
    </row>
    <row r="41" spans="1:20" ht="14.25" customHeight="1" x14ac:dyDescent="0.25">
      <c r="A41" s="13">
        <v>36</v>
      </c>
      <c r="B41" s="14" t="s">
        <v>59</v>
      </c>
      <c r="C41" s="34">
        <v>17351</v>
      </c>
      <c r="D41" s="34">
        <v>1877</v>
      </c>
      <c r="E41" s="34">
        <v>3398</v>
      </c>
      <c r="F41" s="34">
        <v>1796</v>
      </c>
      <c r="G41" s="34">
        <v>1491</v>
      </c>
      <c r="H41" s="34">
        <v>153</v>
      </c>
      <c r="I41" s="34">
        <v>1580</v>
      </c>
      <c r="J41" s="34">
        <v>1643</v>
      </c>
      <c r="K41" s="34">
        <v>737</v>
      </c>
      <c r="L41" s="16">
        <v>0</v>
      </c>
      <c r="M41" s="16"/>
      <c r="N41" s="16"/>
      <c r="O41" s="14"/>
      <c r="P41" s="34">
        <f t="shared" si="0"/>
        <v>12675</v>
      </c>
      <c r="Q41" s="17">
        <f t="shared" si="1"/>
        <v>0.73050544637196702</v>
      </c>
      <c r="T41" s="12"/>
    </row>
    <row r="42" spans="1:20" ht="14.25" customHeight="1" x14ac:dyDescent="0.25">
      <c r="A42" s="13">
        <v>37</v>
      </c>
      <c r="B42" s="14" t="s">
        <v>60</v>
      </c>
      <c r="C42" s="34">
        <v>8828</v>
      </c>
      <c r="D42" s="34">
        <v>999</v>
      </c>
      <c r="E42" s="34">
        <v>449</v>
      </c>
      <c r="F42" s="34">
        <v>1402</v>
      </c>
      <c r="G42" s="34">
        <v>788</v>
      </c>
      <c r="H42" s="34">
        <v>900</v>
      </c>
      <c r="I42" s="34">
        <v>1148</v>
      </c>
      <c r="J42" s="34">
        <v>808</v>
      </c>
      <c r="K42" s="34">
        <v>78</v>
      </c>
      <c r="L42" s="16">
        <v>582</v>
      </c>
      <c r="M42" s="16"/>
      <c r="N42" s="16"/>
      <c r="O42" s="14"/>
      <c r="P42" s="34">
        <f t="shared" si="0"/>
        <v>7154</v>
      </c>
      <c r="Q42" s="17">
        <f t="shared" si="1"/>
        <v>0.81037607612143181</v>
      </c>
      <c r="T42" s="12"/>
    </row>
    <row r="43" spans="1:20" ht="14.25" customHeight="1" x14ac:dyDescent="0.25">
      <c r="A43" s="13">
        <v>38</v>
      </c>
      <c r="B43" s="14" t="s">
        <v>61</v>
      </c>
      <c r="C43" s="34">
        <v>10331</v>
      </c>
      <c r="D43" s="34">
        <v>499</v>
      </c>
      <c r="E43" s="34">
        <v>1067</v>
      </c>
      <c r="F43" s="34">
        <v>1453</v>
      </c>
      <c r="G43" s="34">
        <v>76</v>
      </c>
      <c r="H43" s="34">
        <v>0</v>
      </c>
      <c r="I43" s="34">
        <v>806</v>
      </c>
      <c r="J43" s="34">
        <v>743</v>
      </c>
      <c r="K43" s="34">
        <v>931</v>
      </c>
      <c r="L43" s="16">
        <v>0</v>
      </c>
      <c r="M43" s="16"/>
      <c r="N43" s="16"/>
      <c r="O43" s="14"/>
      <c r="P43" s="34">
        <f t="shared" si="0"/>
        <v>5575</v>
      </c>
      <c r="Q43" s="17">
        <f t="shared" si="1"/>
        <v>0.53963798277030295</v>
      </c>
      <c r="T43" s="12"/>
    </row>
    <row r="44" spans="1:20" ht="14.25" customHeight="1" x14ac:dyDescent="0.25">
      <c r="A44" s="13">
        <v>39</v>
      </c>
      <c r="B44" s="14" t="s">
        <v>62</v>
      </c>
      <c r="C44" s="34">
        <v>384</v>
      </c>
      <c r="D44" s="34">
        <v>0</v>
      </c>
      <c r="E44" s="34">
        <v>436</v>
      </c>
      <c r="F44" s="34">
        <v>1680</v>
      </c>
      <c r="G44" s="34">
        <v>0</v>
      </c>
      <c r="H44" s="34">
        <v>0</v>
      </c>
      <c r="I44" s="34">
        <v>23</v>
      </c>
      <c r="J44" s="34">
        <v>53</v>
      </c>
      <c r="K44" s="34">
        <v>0</v>
      </c>
      <c r="L44" s="16">
        <v>437</v>
      </c>
      <c r="M44" s="16"/>
      <c r="N44" s="16"/>
      <c r="O44" s="14"/>
      <c r="P44" s="34">
        <f t="shared" si="0"/>
        <v>2629</v>
      </c>
      <c r="Q44" s="17">
        <f t="shared" si="1"/>
        <v>6.846354166666667</v>
      </c>
      <c r="T44" s="12"/>
    </row>
    <row r="45" spans="1:20" ht="14.25" customHeight="1" x14ac:dyDescent="0.25">
      <c r="A45" s="13">
        <v>40</v>
      </c>
      <c r="B45" s="14" t="s">
        <v>63</v>
      </c>
      <c r="C45" s="34">
        <v>22806</v>
      </c>
      <c r="D45" s="34">
        <v>934</v>
      </c>
      <c r="E45" s="34">
        <v>12873</v>
      </c>
      <c r="F45" s="34">
        <v>5904</v>
      </c>
      <c r="G45" s="34">
        <v>896</v>
      </c>
      <c r="H45" s="34">
        <v>0</v>
      </c>
      <c r="I45" s="34">
        <v>338</v>
      </c>
      <c r="J45" s="34">
        <v>2460</v>
      </c>
      <c r="K45" s="34">
        <v>77</v>
      </c>
      <c r="L45" s="16">
        <v>823</v>
      </c>
      <c r="M45" s="16"/>
      <c r="N45" s="16"/>
      <c r="O45" s="14"/>
      <c r="P45" s="34">
        <f t="shared" si="0"/>
        <v>24305</v>
      </c>
      <c r="Q45" s="17">
        <f t="shared" si="1"/>
        <v>1.0657283171095326</v>
      </c>
      <c r="T45" s="12"/>
    </row>
    <row r="46" spans="1:20" ht="14.25" customHeight="1" x14ac:dyDescent="0.25">
      <c r="A46" s="13">
        <v>41</v>
      </c>
      <c r="B46" s="14" t="s">
        <v>64</v>
      </c>
      <c r="C46" s="34">
        <v>36709</v>
      </c>
      <c r="D46" s="34">
        <v>709</v>
      </c>
      <c r="E46" s="34">
        <v>8511</v>
      </c>
      <c r="F46" s="34">
        <v>10802</v>
      </c>
      <c r="G46" s="34">
        <v>1120</v>
      </c>
      <c r="H46" s="34">
        <v>4478</v>
      </c>
      <c r="I46" s="34">
        <v>7747</v>
      </c>
      <c r="J46" s="34">
        <v>5540</v>
      </c>
      <c r="K46" s="34">
        <v>0</v>
      </c>
      <c r="L46" s="16">
        <v>208</v>
      </c>
      <c r="M46" s="16"/>
      <c r="N46" s="16"/>
      <c r="O46" s="14"/>
      <c r="P46" s="34">
        <f t="shared" si="0"/>
        <v>39115</v>
      </c>
      <c r="Q46" s="17">
        <f t="shared" si="1"/>
        <v>1.0655425100111688</v>
      </c>
      <c r="T46" s="12"/>
    </row>
    <row r="47" spans="1:20" ht="14.25" customHeight="1" x14ac:dyDescent="0.25">
      <c r="A47" s="18">
        <v>42</v>
      </c>
      <c r="B47" s="19" t="s">
        <v>65</v>
      </c>
      <c r="C47" s="35">
        <v>16942</v>
      </c>
      <c r="D47" s="35">
        <v>38</v>
      </c>
      <c r="E47" s="35">
        <v>5745</v>
      </c>
      <c r="F47" s="35">
        <v>4215</v>
      </c>
      <c r="G47" s="35">
        <v>808</v>
      </c>
      <c r="H47" s="35">
        <v>1090</v>
      </c>
      <c r="I47" s="35">
        <v>1898</v>
      </c>
      <c r="J47" s="35">
        <v>2536</v>
      </c>
      <c r="K47" s="35">
        <v>1238</v>
      </c>
      <c r="L47" s="21">
        <v>0</v>
      </c>
      <c r="M47" s="21"/>
      <c r="N47" s="21"/>
      <c r="O47" s="19"/>
      <c r="P47" s="35">
        <f t="shared" si="0"/>
        <v>17568</v>
      </c>
      <c r="Q47" s="22">
        <f t="shared" si="1"/>
        <v>1.0369495927281314</v>
      </c>
      <c r="T47" s="12"/>
    </row>
    <row r="48" spans="1:20" ht="14.25" customHeight="1" x14ac:dyDescent="0.25">
      <c r="A48" s="88" t="s">
        <v>66</v>
      </c>
      <c r="B48" s="89"/>
      <c r="C48" s="36">
        <f t="shared" ref="C48:P48" si="2">SUM(C6:C47)</f>
        <v>521662</v>
      </c>
      <c r="D48" s="36">
        <f t="shared" si="2"/>
        <v>35882</v>
      </c>
      <c r="E48" s="36">
        <f t="shared" si="2"/>
        <v>96245</v>
      </c>
      <c r="F48" s="36">
        <f t="shared" si="2"/>
        <v>83952</v>
      </c>
      <c r="G48" s="36">
        <f t="shared" si="2"/>
        <v>36270</v>
      </c>
      <c r="H48" s="36">
        <f t="shared" si="2"/>
        <v>43953</v>
      </c>
      <c r="I48" s="36">
        <f t="shared" si="2"/>
        <v>59041</v>
      </c>
      <c r="J48" s="36">
        <f t="shared" si="2"/>
        <v>45368</v>
      </c>
      <c r="K48" s="36">
        <f t="shared" si="2"/>
        <v>16817</v>
      </c>
      <c r="L48" s="36">
        <f t="shared" si="2"/>
        <v>19972</v>
      </c>
      <c r="M48" s="36">
        <f t="shared" si="2"/>
        <v>0</v>
      </c>
      <c r="N48" s="36">
        <f t="shared" si="2"/>
        <v>0</v>
      </c>
      <c r="O48" s="36">
        <f t="shared" si="2"/>
        <v>0</v>
      </c>
      <c r="P48" s="36">
        <f t="shared" si="2"/>
        <v>437500</v>
      </c>
      <c r="Q48" s="25">
        <f t="shared" si="1"/>
        <v>0.83866564940517041</v>
      </c>
      <c r="T48" s="12"/>
    </row>
    <row r="49" spans="12:12" ht="14.25" customHeight="1" x14ac:dyDescent="0.25"/>
    <row r="50" spans="12:12" ht="14.25" customHeight="1" x14ac:dyDescent="0.25"/>
    <row r="51" spans="12:12" ht="14.25" customHeight="1" x14ac:dyDescent="0.25">
      <c r="L51" s="31"/>
    </row>
    <row r="52" spans="12:12" ht="14.25" customHeight="1" x14ac:dyDescent="0.25"/>
    <row r="53" spans="12:12" ht="14.25" customHeight="1" x14ac:dyDescent="0.25"/>
    <row r="54" spans="12:12" ht="14.25" customHeight="1" x14ac:dyDescent="0.25"/>
    <row r="55" spans="12:12" ht="14.25" customHeight="1" x14ac:dyDescent="0.25"/>
    <row r="56" spans="12:12" ht="14.25" customHeight="1" x14ac:dyDescent="0.25"/>
    <row r="57" spans="12:12" ht="14.25" customHeight="1" x14ac:dyDescent="0.25"/>
    <row r="58" spans="12:12" ht="14.25" customHeight="1" x14ac:dyDescent="0.25"/>
    <row r="59" spans="12:12" ht="14.25" customHeight="1" x14ac:dyDescent="0.25"/>
    <row r="60" spans="12:12" ht="14.25" customHeight="1" x14ac:dyDescent="0.25"/>
    <row r="61" spans="12:12" ht="14.25" customHeight="1" x14ac:dyDescent="0.25"/>
    <row r="62" spans="12:12" ht="14.25" customHeight="1" x14ac:dyDescent="0.25"/>
    <row r="63" spans="12:12" ht="14.25" customHeight="1" x14ac:dyDescent="0.25"/>
    <row r="64" spans="12:12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3">
    <mergeCell ref="A1:Q1"/>
    <mergeCell ref="A2:Q2"/>
    <mergeCell ref="A4:A5"/>
    <mergeCell ref="B4:B5"/>
    <mergeCell ref="C4:C5"/>
    <mergeCell ref="D4:O4"/>
    <mergeCell ref="P4:P5"/>
    <mergeCell ref="A48:B48"/>
    <mergeCell ref="U6:U8"/>
    <mergeCell ref="U9:U10"/>
    <mergeCell ref="V9:V10"/>
    <mergeCell ref="W9:W10"/>
    <mergeCell ref="X9:X10"/>
    <mergeCell ref="Y9:Y10"/>
    <mergeCell ref="Z9:Z10"/>
    <mergeCell ref="AA9:AA10"/>
    <mergeCell ref="Q4:Q5"/>
    <mergeCell ref="V6:V8"/>
    <mergeCell ref="W6:W8"/>
    <mergeCell ref="X6:X8"/>
    <mergeCell ref="Y6:Y8"/>
    <mergeCell ref="Z6:Z8"/>
    <mergeCell ref="AA6:AA8"/>
  </mergeCells>
  <printOptions horizontalCentered="1" verticalCentered="1"/>
  <pageMargins left="0.70866141732283472" right="0.70866141732283472" top="0.74803149606299213" bottom="0.74803149606299213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AA1000"/>
  <sheetViews>
    <sheetView workbookViewId="0">
      <selection activeCell="U6" sqref="U6:AA10"/>
    </sheetView>
  </sheetViews>
  <sheetFormatPr defaultColWidth="14.42578125" defaultRowHeight="15" customHeight="1" x14ac:dyDescent="0.25"/>
  <cols>
    <col min="1" max="1" width="4.140625" customWidth="1"/>
    <col min="2" max="3" width="15.85546875" customWidth="1"/>
    <col min="4" max="15" width="12.7109375" customWidth="1"/>
    <col min="16" max="16" width="11.5703125" customWidth="1"/>
    <col min="17" max="17" width="12.28515625" customWidth="1"/>
    <col min="18" max="19" width="8.7109375" customWidth="1"/>
    <col min="20" max="20" width="10" customWidth="1"/>
    <col min="21" max="27" width="18" customWidth="1"/>
  </cols>
  <sheetData>
    <row r="1" spans="1:27" ht="14.25" customHeight="1" x14ac:dyDescent="0.25">
      <c r="A1" s="92" t="s">
        <v>71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</row>
    <row r="2" spans="1:27" ht="14.25" customHeight="1" x14ac:dyDescent="0.25">
      <c r="A2" s="92" t="s">
        <v>2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</row>
    <row r="3" spans="1:27" ht="14.2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27" ht="14.25" customHeight="1" x14ac:dyDescent="0.25">
      <c r="A4" s="85" t="s">
        <v>3</v>
      </c>
      <c r="B4" s="85" t="s">
        <v>4</v>
      </c>
      <c r="C4" s="94" t="s">
        <v>72</v>
      </c>
      <c r="D4" s="95" t="s">
        <v>6</v>
      </c>
      <c r="E4" s="96"/>
      <c r="F4" s="96"/>
      <c r="G4" s="96"/>
      <c r="H4" s="96"/>
      <c r="I4" s="96"/>
      <c r="J4" s="96"/>
      <c r="K4" s="96"/>
      <c r="L4" s="96"/>
      <c r="M4" s="96"/>
      <c r="N4" s="96"/>
      <c r="O4" s="89"/>
      <c r="P4" s="94" t="s">
        <v>7</v>
      </c>
      <c r="Q4" s="85" t="s">
        <v>8</v>
      </c>
    </row>
    <row r="5" spans="1:27" ht="33.75" customHeight="1" x14ac:dyDescent="0.25">
      <c r="A5" s="83"/>
      <c r="B5" s="83"/>
      <c r="C5" s="83"/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4" t="s">
        <v>14</v>
      </c>
      <c r="J5" s="3" t="s">
        <v>15</v>
      </c>
      <c r="K5" s="3" t="s">
        <v>16</v>
      </c>
      <c r="L5" s="3" t="s">
        <v>0</v>
      </c>
      <c r="M5" s="3" t="s">
        <v>17</v>
      </c>
      <c r="N5" s="3" t="s">
        <v>18</v>
      </c>
      <c r="O5" s="3" t="s">
        <v>19</v>
      </c>
      <c r="P5" s="83"/>
      <c r="Q5" s="83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4.25" customHeight="1" x14ac:dyDescent="0.25">
      <c r="A6" s="6">
        <v>1</v>
      </c>
      <c r="B6" s="7" t="s">
        <v>20</v>
      </c>
      <c r="C6" s="37">
        <v>62</v>
      </c>
      <c r="D6" s="37">
        <v>0</v>
      </c>
      <c r="E6" s="37">
        <v>0</v>
      </c>
      <c r="F6" s="37">
        <v>10</v>
      </c>
      <c r="G6" s="37">
        <v>10</v>
      </c>
      <c r="H6" s="37">
        <v>10</v>
      </c>
      <c r="I6" s="37">
        <v>10</v>
      </c>
      <c r="J6" s="37">
        <v>0</v>
      </c>
      <c r="K6" s="37">
        <v>0</v>
      </c>
      <c r="L6" s="9">
        <v>0</v>
      </c>
      <c r="M6" s="9"/>
      <c r="N6" s="37"/>
      <c r="O6" s="37"/>
      <c r="P6" s="37">
        <f t="shared" ref="P6:P47" si="0">SUM(D6:O6)</f>
        <v>40</v>
      </c>
      <c r="Q6" s="38">
        <f t="shared" ref="Q6:Q48" si="1">IFERROR(P6/C6,0)</f>
        <v>0.64516129032258063</v>
      </c>
      <c r="T6" s="12"/>
      <c r="U6" s="90"/>
      <c r="V6" s="86"/>
      <c r="W6" s="86"/>
      <c r="X6" s="86"/>
      <c r="Y6" s="86"/>
      <c r="Z6" s="86"/>
      <c r="AA6" s="86"/>
    </row>
    <row r="7" spans="1:27" ht="14.25" customHeight="1" x14ac:dyDescent="0.25">
      <c r="A7" s="13">
        <v>2</v>
      </c>
      <c r="B7" s="14" t="s">
        <v>25</v>
      </c>
      <c r="C7" s="39">
        <v>53</v>
      </c>
      <c r="D7" s="39">
        <v>30</v>
      </c>
      <c r="E7" s="39">
        <v>0</v>
      </c>
      <c r="F7" s="39">
        <v>0</v>
      </c>
      <c r="G7" s="39">
        <v>10</v>
      </c>
      <c r="H7" s="39">
        <v>10</v>
      </c>
      <c r="I7" s="39">
        <v>10</v>
      </c>
      <c r="J7" s="39">
        <v>10</v>
      </c>
      <c r="K7" s="39">
        <v>0</v>
      </c>
      <c r="L7" s="16">
        <v>0</v>
      </c>
      <c r="M7" s="16"/>
      <c r="N7" s="39"/>
      <c r="O7" s="39"/>
      <c r="P7" s="39">
        <f t="shared" si="0"/>
        <v>70</v>
      </c>
      <c r="Q7" s="40">
        <f t="shared" si="1"/>
        <v>1.320754716981132</v>
      </c>
      <c r="T7" s="12"/>
      <c r="U7" s="87"/>
      <c r="V7" s="87"/>
      <c r="W7" s="87"/>
      <c r="X7" s="87"/>
      <c r="Y7" s="87"/>
      <c r="Z7" s="87"/>
      <c r="AA7" s="87"/>
    </row>
    <row r="8" spans="1:27" ht="14.25" customHeight="1" x14ac:dyDescent="0.25">
      <c r="A8" s="13">
        <v>3</v>
      </c>
      <c r="B8" s="14" t="s">
        <v>26</v>
      </c>
      <c r="C8" s="39">
        <v>0</v>
      </c>
      <c r="D8" s="39">
        <v>0</v>
      </c>
      <c r="E8" s="39">
        <v>0</v>
      </c>
      <c r="F8" s="39">
        <v>0</v>
      </c>
      <c r="G8" s="39">
        <v>0</v>
      </c>
      <c r="H8" s="39">
        <v>0</v>
      </c>
      <c r="I8" s="39">
        <v>0</v>
      </c>
      <c r="J8" s="39">
        <v>0</v>
      </c>
      <c r="K8" s="39">
        <v>0</v>
      </c>
      <c r="L8" s="16">
        <v>0</v>
      </c>
      <c r="M8" s="16"/>
      <c r="N8" s="39"/>
      <c r="O8" s="39"/>
      <c r="P8" s="39">
        <f t="shared" si="0"/>
        <v>0</v>
      </c>
      <c r="Q8" s="40">
        <f t="shared" si="1"/>
        <v>0</v>
      </c>
      <c r="T8" s="12"/>
      <c r="U8" s="83"/>
      <c r="V8" s="83"/>
      <c r="W8" s="83"/>
      <c r="X8" s="83"/>
      <c r="Y8" s="83"/>
      <c r="Z8" s="83"/>
      <c r="AA8" s="83"/>
    </row>
    <row r="9" spans="1:27" ht="14.25" customHeight="1" x14ac:dyDescent="0.25">
      <c r="A9" s="13">
        <v>4</v>
      </c>
      <c r="B9" s="14" t="s">
        <v>27</v>
      </c>
      <c r="C9" s="39">
        <v>53</v>
      </c>
      <c r="D9" s="39">
        <v>0</v>
      </c>
      <c r="E9" s="39">
        <v>0</v>
      </c>
      <c r="F9" s="39">
        <v>0</v>
      </c>
      <c r="G9" s="39">
        <v>0</v>
      </c>
      <c r="H9" s="39">
        <v>0</v>
      </c>
      <c r="I9" s="39">
        <v>0</v>
      </c>
      <c r="J9" s="39">
        <v>0</v>
      </c>
      <c r="K9" s="39">
        <v>0</v>
      </c>
      <c r="L9" s="16">
        <v>0</v>
      </c>
      <c r="M9" s="16"/>
      <c r="N9" s="39"/>
      <c r="O9" s="39"/>
      <c r="P9" s="39">
        <f t="shared" si="0"/>
        <v>0</v>
      </c>
      <c r="Q9" s="40">
        <f t="shared" si="1"/>
        <v>0</v>
      </c>
      <c r="T9" s="12"/>
      <c r="U9" s="91"/>
      <c r="V9" s="84"/>
      <c r="W9" s="84"/>
      <c r="X9" s="82"/>
      <c r="Y9" s="84"/>
      <c r="Z9" s="84"/>
      <c r="AA9" s="82"/>
    </row>
    <row r="10" spans="1:27" ht="14.25" customHeight="1" x14ac:dyDescent="0.25">
      <c r="A10" s="13">
        <v>5</v>
      </c>
      <c r="B10" s="14" t="s">
        <v>28</v>
      </c>
      <c r="C10" s="39">
        <v>36</v>
      </c>
      <c r="D10" s="39">
        <v>20</v>
      </c>
      <c r="E10" s="39">
        <v>0</v>
      </c>
      <c r="F10" s="39">
        <v>0</v>
      </c>
      <c r="G10" s="39">
        <v>0</v>
      </c>
      <c r="H10" s="39">
        <v>10</v>
      </c>
      <c r="I10" s="39">
        <v>20</v>
      </c>
      <c r="J10" s="39">
        <v>10</v>
      </c>
      <c r="K10" s="39">
        <v>10</v>
      </c>
      <c r="L10" s="16">
        <v>10</v>
      </c>
      <c r="M10" s="16"/>
      <c r="N10" s="39"/>
      <c r="O10" s="39"/>
      <c r="P10" s="39">
        <f t="shared" si="0"/>
        <v>80</v>
      </c>
      <c r="Q10" s="40">
        <f t="shared" si="1"/>
        <v>2.2222222222222223</v>
      </c>
      <c r="T10" s="12"/>
      <c r="U10" s="83"/>
      <c r="V10" s="83"/>
      <c r="W10" s="83"/>
      <c r="X10" s="83"/>
      <c r="Y10" s="83"/>
      <c r="Z10" s="83"/>
      <c r="AA10" s="83"/>
    </row>
    <row r="11" spans="1:27" ht="14.25" customHeight="1" x14ac:dyDescent="0.25">
      <c r="A11" s="13">
        <v>6</v>
      </c>
      <c r="B11" s="14" t="s">
        <v>29</v>
      </c>
      <c r="C11" s="39">
        <v>169</v>
      </c>
      <c r="D11" s="39">
        <v>0</v>
      </c>
      <c r="E11" s="39">
        <v>20</v>
      </c>
      <c r="F11" s="39">
        <v>0</v>
      </c>
      <c r="G11" s="39">
        <v>21</v>
      </c>
      <c r="H11" s="39">
        <v>31</v>
      </c>
      <c r="I11" s="39">
        <v>30</v>
      </c>
      <c r="J11" s="39">
        <v>10</v>
      </c>
      <c r="K11" s="39">
        <v>10</v>
      </c>
      <c r="L11" s="16">
        <v>10</v>
      </c>
      <c r="M11" s="16"/>
      <c r="N11" s="39"/>
      <c r="O11" s="39"/>
      <c r="P11" s="39">
        <f t="shared" si="0"/>
        <v>132</v>
      </c>
      <c r="Q11" s="40">
        <f t="shared" si="1"/>
        <v>0.78106508875739644</v>
      </c>
      <c r="T11" s="12"/>
    </row>
    <row r="12" spans="1:27" ht="14.25" customHeight="1" x14ac:dyDescent="0.25">
      <c r="A12" s="13">
        <v>7</v>
      </c>
      <c r="B12" s="14" t="s">
        <v>30</v>
      </c>
      <c r="C12" s="39">
        <v>0</v>
      </c>
      <c r="D12" s="39">
        <v>70</v>
      </c>
      <c r="E12" s="39">
        <v>100</v>
      </c>
      <c r="F12" s="39">
        <v>189</v>
      </c>
      <c r="G12" s="39">
        <v>0</v>
      </c>
      <c r="H12" s="39">
        <v>0</v>
      </c>
      <c r="I12" s="39">
        <v>0</v>
      </c>
      <c r="J12" s="39">
        <v>0</v>
      </c>
      <c r="K12" s="39">
        <v>0</v>
      </c>
      <c r="L12" s="16">
        <v>0</v>
      </c>
      <c r="M12" s="16"/>
      <c r="N12" s="39"/>
      <c r="O12" s="39"/>
      <c r="P12" s="39">
        <f t="shared" si="0"/>
        <v>359</v>
      </c>
      <c r="Q12" s="40">
        <f t="shared" si="1"/>
        <v>0</v>
      </c>
      <c r="T12" s="12"/>
      <c r="V12" s="12"/>
      <c r="W12" s="12"/>
      <c r="X12" s="12"/>
      <c r="Y12" s="12"/>
      <c r="Z12" s="12"/>
      <c r="AA12" s="12"/>
    </row>
    <row r="13" spans="1:27" ht="14.25" customHeight="1" x14ac:dyDescent="0.25">
      <c r="A13" s="13">
        <v>8</v>
      </c>
      <c r="B13" s="14" t="s">
        <v>31</v>
      </c>
      <c r="C13" s="39">
        <v>0</v>
      </c>
      <c r="D13" s="39">
        <v>0</v>
      </c>
      <c r="E13" s="39">
        <v>0</v>
      </c>
      <c r="F13" s="39">
        <v>0</v>
      </c>
      <c r="G13" s="39">
        <v>0</v>
      </c>
      <c r="H13" s="39">
        <v>0</v>
      </c>
      <c r="I13" s="39">
        <v>0</v>
      </c>
      <c r="J13" s="39">
        <v>0</v>
      </c>
      <c r="K13" s="39">
        <v>0</v>
      </c>
      <c r="L13" s="16">
        <v>0</v>
      </c>
      <c r="M13" s="16"/>
      <c r="N13" s="39"/>
      <c r="O13" s="39"/>
      <c r="P13" s="39">
        <f t="shared" si="0"/>
        <v>0</v>
      </c>
      <c r="Q13" s="40">
        <f t="shared" si="1"/>
        <v>0</v>
      </c>
      <c r="T13" s="12"/>
    </row>
    <row r="14" spans="1:27" ht="14.25" customHeight="1" x14ac:dyDescent="0.25">
      <c r="A14" s="13">
        <v>9</v>
      </c>
      <c r="B14" s="14" t="s">
        <v>32</v>
      </c>
      <c r="C14" s="39">
        <v>0</v>
      </c>
      <c r="D14" s="39">
        <v>0</v>
      </c>
      <c r="E14" s="39">
        <v>0</v>
      </c>
      <c r="F14" s="39">
        <v>889</v>
      </c>
      <c r="G14" s="39">
        <v>0</v>
      </c>
      <c r="H14" s="39">
        <v>10</v>
      </c>
      <c r="I14" s="39">
        <v>0</v>
      </c>
      <c r="J14" s="39">
        <v>0</v>
      </c>
      <c r="K14" s="39">
        <v>0</v>
      </c>
      <c r="L14" s="16">
        <v>0</v>
      </c>
      <c r="M14" s="16"/>
      <c r="N14" s="39"/>
      <c r="O14" s="39"/>
      <c r="P14" s="39">
        <f t="shared" si="0"/>
        <v>899</v>
      </c>
      <c r="Q14" s="40">
        <f t="shared" si="1"/>
        <v>0</v>
      </c>
      <c r="T14" s="12"/>
    </row>
    <row r="15" spans="1:27" ht="14.25" customHeight="1" x14ac:dyDescent="0.25">
      <c r="A15" s="13">
        <v>10</v>
      </c>
      <c r="B15" s="14" t="s">
        <v>33</v>
      </c>
      <c r="C15" s="39">
        <v>0</v>
      </c>
      <c r="D15" s="39">
        <v>0</v>
      </c>
      <c r="E15" s="39">
        <v>0</v>
      </c>
      <c r="F15" s="39">
        <v>0</v>
      </c>
      <c r="G15" s="39">
        <v>0</v>
      </c>
      <c r="H15" s="39">
        <v>0</v>
      </c>
      <c r="I15" s="39">
        <v>0</v>
      </c>
      <c r="J15" s="39">
        <v>0</v>
      </c>
      <c r="K15" s="39">
        <v>0</v>
      </c>
      <c r="L15" s="16">
        <v>0</v>
      </c>
      <c r="M15" s="16"/>
      <c r="N15" s="39"/>
      <c r="O15" s="39"/>
      <c r="P15" s="39">
        <f t="shared" si="0"/>
        <v>0</v>
      </c>
      <c r="Q15" s="40">
        <f t="shared" si="1"/>
        <v>0</v>
      </c>
      <c r="T15" s="12"/>
    </row>
    <row r="16" spans="1:27" ht="14.25" customHeight="1" x14ac:dyDescent="0.25">
      <c r="A16" s="13">
        <v>11</v>
      </c>
      <c r="B16" s="14" t="s">
        <v>34</v>
      </c>
      <c r="C16" s="39">
        <v>0</v>
      </c>
      <c r="D16" s="39">
        <v>0</v>
      </c>
      <c r="E16" s="39">
        <v>0</v>
      </c>
      <c r="F16" s="39">
        <v>0</v>
      </c>
      <c r="G16" s="39">
        <v>0</v>
      </c>
      <c r="H16" s="39">
        <v>0</v>
      </c>
      <c r="I16" s="39">
        <v>0</v>
      </c>
      <c r="J16" s="39">
        <v>0</v>
      </c>
      <c r="K16" s="39">
        <v>0</v>
      </c>
      <c r="L16" s="16">
        <v>0</v>
      </c>
      <c r="M16" s="16"/>
      <c r="N16" s="39"/>
      <c r="O16" s="39"/>
      <c r="P16" s="39">
        <f t="shared" si="0"/>
        <v>0</v>
      </c>
      <c r="Q16" s="40">
        <f t="shared" si="1"/>
        <v>0</v>
      </c>
      <c r="T16" s="12"/>
    </row>
    <row r="17" spans="1:20" ht="14.25" customHeight="1" x14ac:dyDescent="0.25">
      <c r="A17" s="13">
        <v>12</v>
      </c>
      <c r="B17" s="14" t="s">
        <v>35</v>
      </c>
      <c r="C17" s="39">
        <v>0</v>
      </c>
      <c r="D17" s="39">
        <v>0</v>
      </c>
      <c r="E17" s="39">
        <v>0</v>
      </c>
      <c r="F17" s="39">
        <v>0</v>
      </c>
      <c r="G17" s="39">
        <v>0</v>
      </c>
      <c r="H17" s="39">
        <v>0</v>
      </c>
      <c r="I17" s="39">
        <v>0</v>
      </c>
      <c r="J17" s="39">
        <v>0</v>
      </c>
      <c r="K17" s="39">
        <v>0</v>
      </c>
      <c r="L17" s="16">
        <v>0</v>
      </c>
      <c r="M17" s="16"/>
      <c r="N17" s="39"/>
      <c r="O17" s="39"/>
      <c r="P17" s="39">
        <f t="shared" si="0"/>
        <v>0</v>
      </c>
      <c r="Q17" s="40">
        <f t="shared" si="1"/>
        <v>0</v>
      </c>
      <c r="T17" s="12"/>
    </row>
    <row r="18" spans="1:20" ht="14.25" customHeight="1" x14ac:dyDescent="0.25">
      <c r="A18" s="13">
        <v>13</v>
      </c>
      <c r="B18" s="14" t="s">
        <v>36</v>
      </c>
      <c r="C18" s="39">
        <v>0</v>
      </c>
      <c r="D18" s="39">
        <v>0</v>
      </c>
      <c r="E18" s="39">
        <v>0</v>
      </c>
      <c r="F18" s="39">
        <v>0</v>
      </c>
      <c r="G18" s="39">
        <v>0</v>
      </c>
      <c r="H18" s="39">
        <v>0</v>
      </c>
      <c r="I18" s="39">
        <v>0</v>
      </c>
      <c r="J18" s="39">
        <v>0</v>
      </c>
      <c r="K18" s="39">
        <v>0</v>
      </c>
      <c r="L18" s="16">
        <v>0</v>
      </c>
      <c r="M18" s="16"/>
      <c r="N18" s="39"/>
      <c r="O18" s="39"/>
      <c r="P18" s="39">
        <f t="shared" si="0"/>
        <v>0</v>
      </c>
      <c r="Q18" s="40">
        <f t="shared" si="1"/>
        <v>0</v>
      </c>
      <c r="T18" s="12"/>
    </row>
    <row r="19" spans="1:20" ht="14.25" customHeight="1" x14ac:dyDescent="0.25">
      <c r="A19" s="13">
        <v>14</v>
      </c>
      <c r="B19" s="14" t="s">
        <v>37</v>
      </c>
      <c r="C19" s="39">
        <v>0</v>
      </c>
      <c r="D19" s="39">
        <v>0</v>
      </c>
      <c r="E19" s="39">
        <v>0</v>
      </c>
      <c r="F19" s="39">
        <v>0</v>
      </c>
      <c r="G19" s="39">
        <v>0</v>
      </c>
      <c r="H19" s="39">
        <v>0</v>
      </c>
      <c r="I19" s="39">
        <v>0</v>
      </c>
      <c r="J19" s="39">
        <v>0</v>
      </c>
      <c r="K19" s="39">
        <v>0</v>
      </c>
      <c r="L19" s="16">
        <v>0</v>
      </c>
      <c r="M19" s="16"/>
      <c r="N19" s="39"/>
      <c r="O19" s="39"/>
      <c r="P19" s="39">
        <f t="shared" si="0"/>
        <v>0</v>
      </c>
      <c r="Q19" s="40">
        <f t="shared" si="1"/>
        <v>0</v>
      </c>
      <c r="T19" s="12"/>
    </row>
    <row r="20" spans="1:20" ht="14.25" customHeight="1" x14ac:dyDescent="0.25">
      <c r="A20" s="13">
        <v>15</v>
      </c>
      <c r="B20" s="14" t="s">
        <v>38</v>
      </c>
      <c r="C20" s="39">
        <v>142</v>
      </c>
      <c r="D20" s="39">
        <v>0</v>
      </c>
      <c r="E20" s="39">
        <v>10</v>
      </c>
      <c r="F20" s="39">
        <v>10</v>
      </c>
      <c r="G20" s="39">
        <v>30</v>
      </c>
      <c r="H20" s="39">
        <v>20</v>
      </c>
      <c r="I20" s="39">
        <v>20</v>
      </c>
      <c r="J20" s="39">
        <v>10</v>
      </c>
      <c r="K20" s="39">
        <v>10</v>
      </c>
      <c r="L20" s="16">
        <v>10</v>
      </c>
      <c r="M20" s="16"/>
      <c r="N20" s="39"/>
      <c r="O20" s="39"/>
      <c r="P20" s="39">
        <f t="shared" si="0"/>
        <v>120</v>
      </c>
      <c r="Q20" s="40">
        <f t="shared" si="1"/>
        <v>0.84507042253521125</v>
      </c>
      <c r="T20" s="12"/>
    </row>
    <row r="21" spans="1:20" ht="14.25" customHeight="1" x14ac:dyDescent="0.25">
      <c r="A21" s="13">
        <v>16</v>
      </c>
      <c r="B21" s="14" t="s">
        <v>39</v>
      </c>
      <c r="C21" s="39">
        <v>0</v>
      </c>
      <c r="D21" s="39">
        <v>0</v>
      </c>
      <c r="E21" s="39">
        <v>0</v>
      </c>
      <c r="F21" s="39">
        <v>0</v>
      </c>
      <c r="G21" s="39">
        <v>0</v>
      </c>
      <c r="H21" s="39">
        <v>0</v>
      </c>
      <c r="I21" s="39">
        <v>0</v>
      </c>
      <c r="J21" s="39">
        <v>0</v>
      </c>
      <c r="K21" s="39">
        <v>0</v>
      </c>
      <c r="L21" s="16">
        <v>0</v>
      </c>
      <c r="M21" s="16"/>
      <c r="N21" s="39"/>
      <c r="O21" s="39"/>
      <c r="P21" s="39">
        <f t="shared" si="0"/>
        <v>0</v>
      </c>
      <c r="Q21" s="40">
        <f t="shared" si="1"/>
        <v>0</v>
      </c>
      <c r="T21" s="12"/>
    </row>
    <row r="22" spans="1:20" ht="14.25" customHeight="1" x14ac:dyDescent="0.25">
      <c r="A22" s="13">
        <v>17</v>
      </c>
      <c r="B22" s="14" t="s">
        <v>40</v>
      </c>
      <c r="C22" s="39">
        <v>1181</v>
      </c>
      <c r="D22" s="39">
        <v>160</v>
      </c>
      <c r="E22" s="39">
        <v>190</v>
      </c>
      <c r="F22" s="39">
        <v>300</v>
      </c>
      <c r="G22" s="39">
        <v>280</v>
      </c>
      <c r="H22" s="39">
        <v>270</v>
      </c>
      <c r="I22" s="39">
        <v>330</v>
      </c>
      <c r="J22" s="39">
        <v>210</v>
      </c>
      <c r="K22" s="39">
        <v>240</v>
      </c>
      <c r="L22" s="16">
        <v>180</v>
      </c>
      <c r="M22" s="16"/>
      <c r="N22" s="39"/>
      <c r="O22" s="39"/>
      <c r="P22" s="39">
        <f t="shared" si="0"/>
        <v>2160</v>
      </c>
      <c r="Q22" s="40">
        <f t="shared" si="1"/>
        <v>1.8289585097375105</v>
      </c>
      <c r="T22" s="12"/>
    </row>
    <row r="23" spans="1:20" ht="14.25" customHeight="1" x14ac:dyDescent="0.25">
      <c r="A23" s="13">
        <v>18</v>
      </c>
      <c r="B23" s="14" t="s">
        <v>41</v>
      </c>
      <c r="C23" s="39">
        <v>17523</v>
      </c>
      <c r="D23" s="39">
        <v>700</v>
      </c>
      <c r="E23" s="39">
        <v>3479</v>
      </c>
      <c r="F23" s="39">
        <v>4329</v>
      </c>
      <c r="G23" s="39">
        <v>3829</v>
      </c>
      <c r="H23" s="39">
        <v>3239</v>
      </c>
      <c r="I23" s="39">
        <v>2320</v>
      </c>
      <c r="J23" s="39">
        <v>1199</v>
      </c>
      <c r="K23" s="39">
        <v>890</v>
      </c>
      <c r="L23" s="16">
        <v>710</v>
      </c>
      <c r="M23" s="16"/>
      <c r="N23" s="39"/>
      <c r="O23" s="39"/>
      <c r="P23" s="39">
        <f t="shared" si="0"/>
        <v>20695</v>
      </c>
      <c r="Q23" s="40">
        <f t="shared" si="1"/>
        <v>1.1810192318666894</v>
      </c>
      <c r="T23" s="12"/>
    </row>
    <row r="24" spans="1:20" ht="14.25" customHeight="1" x14ac:dyDescent="0.25">
      <c r="A24" s="13">
        <v>19</v>
      </c>
      <c r="B24" s="14" t="s">
        <v>42</v>
      </c>
      <c r="C24" s="39">
        <v>399</v>
      </c>
      <c r="D24" s="39">
        <v>0</v>
      </c>
      <c r="E24" s="39">
        <v>40</v>
      </c>
      <c r="F24" s="39">
        <v>120</v>
      </c>
      <c r="G24" s="39">
        <v>30</v>
      </c>
      <c r="H24" s="39">
        <v>40</v>
      </c>
      <c r="I24" s="39">
        <v>30</v>
      </c>
      <c r="J24" s="39">
        <v>170</v>
      </c>
      <c r="K24" s="39">
        <v>400</v>
      </c>
      <c r="L24" s="16">
        <v>20</v>
      </c>
      <c r="M24" s="16"/>
      <c r="N24" s="39"/>
      <c r="O24" s="39"/>
      <c r="P24" s="39">
        <f t="shared" si="0"/>
        <v>850</v>
      </c>
      <c r="Q24" s="40">
        <f t="shared" si="1"/>
        <v>2.1303258145363411</v>
      </c>
      <c r="T24" s="12"/>
    </row>
    <row r="25" spans="1:20" ht="14.25" customHeight="1" x14ac:dyDescent="0.25">
      <c r="A25" s="13">
        <v>20</v>
      </c>
      <c r="B25" s="14" t="s">
        <v>43</v>
      </c>
      <c r="C25" s="39">
        <v>1564</v>
      </c>
      <c r="D25" s="39">
        <v>90</v>
      </c>
      <c r="E25" s="39">
        <v>109</v>
      </c>
      <c r="F25" s="39">
        <v>206</v>
      </c>
      <c r="G25" s="39">
        <v>250</v>
      </c>
      <c r="H25" s="39">
        <v>260</v>
      </c>
      <c r="I25" s="39">
        <v>278</v>
      </c>
      <c r="J25" s="39">
        <v>149</v>
      </c>
      <c r="K25" s="39">
        <v>110</v>
      </c>
      <c r="L25" s="16">
        <v>130</v>
      </c>
      <c r="M25" s="16"/>
      <c r="N25" s="39"/>
      <c r="O25" s="39"/>
      <c r="P25" s="39">
        <f t="shared" si="0"/>
        <v>1582</v>
      </c>
      <c r="Q25" s="40">
        <f t="shared" si="1"/>
        <v>1.0115089514066495</v>
      </c>
      <c r="T25" s="12"/>
    </row>
    <row r="26" spans="1:20" ht="14.25" customHeight="1" x14ac:dyDescent="0.25">
      <c r="A26" s="13">
        <v>21</v>
      </c>
      <c r="B26" s="14" t="s">
        <v>44</v>
      </c>
      <c r="C26" s="39">
        <v>1145</v>
      </c>
      <c r="D26" s="39">
        <v>69</v>
      </c>
      <c r="E26" s="39">
        <v>91</v>
      </c>
      <c r="F26" s="39">
        <v>139</v>
      </c>
      <c r="G26" s="39">
        <v>169</v>
      </c>
      <c r="H26" s="39">
        <v>210</v>
      </c>
      <c r="I26" s="39">
        <v>200</v>
      </c>
      <c r="J26" s="39">
        <v>159</v>
      </c>
      <c r="K26" s="39">
        <v>109</v>
      </c>
      <c r="L26" s="16">
        <v>90</v>
      </c>
      <c r="M26" s="16"/>
      <c r="N26" s="39"/>
      <c r="O26" s="39"/>
      <c r="P26" s="39">
        <f t="shared" si="0"/>
        <v>1236</v>
      </c>
      <c r="Q26" s="40">
        <f t="shared" si="1"/>
        <v>1.0794759825327511</v>
      </c>
      <c r="T26" s="12"/>
    </row>
    <row r="27" spans="1:20" ht="14.25" customHeight="1" x14ac:dyDescent="0.25">
      <c r="A27" s="13">
        <v>22</v>
      </c>
      <c r="B27" s="14" t="s">
        <v>45</v>
      </c>
      <c r="C27" s="39">
        <v>1803</v>
      </c>
      <c r="D27" s="39">
        <v>119</v>
      </c>
      <c r="E27" s="39">
        <v>189</v>
      </c>
      <c r="F27" s="39">
        <v>315</v>
      </c>
      <c r="G27" s="39">
        <v>280</v>
      </c>
      <c r="H27" s="39">
        <v>278</v>
      </c>
      <c r="I27" s="39">
        <v>290</v>
      </c>
      <c r="J27" s="39">
        <v>179</v>
      </c>
      <c r="K27" s="39">
        <v>139</v>
      </c>
      <c r="L27" s="16">
        <v>150</v>
      </c>
      <c r="M27" s="16"/>
      <c r="N27" s="39"/>
      <c r="O27" s="39"/>
      <c r="P27" s="39">
        <f t="shared" si="0"/>
        <v>1939</v>
      </c>
      <c r="Q27" s="40">
        <f t="shared" si="1"/>
        <v>1.0754298391569606</v>
      </c>
      <c r="T27" s="12"/>
    </row>
    <row r="28" spans="1:20" ht="14.25" customHeight="1" x14ac:dyDescent="0.25">
      <c r="A28" s="13">
        <v>23</v>
      </c>
      <c r="B28" s="14" t="s">
        <v>46</v>
      </c>
      <c r="C28" s="39">
        <v>817</v>
      </c>
      <c r="D28" s="39">
        <v>109</v>
      </c>
      <c r="E28" s="39">
        <v>78</v>
      </c>
      <c r="F28" s="39">
        <v>69</v>
      </c>
      <c r="G28" s="39">
        <v>279</v>
      </c>
      <c r="H28" s="39">
        <v>89</v>
      </c>
      <c r="I28" s="39">
        <v>141</v>
      </c>
      <c r="J28" s="39">
        <v>89</v>
      </c>
      <c r="K28" s="39">
        <v>70</v>
      </c>
      <c r="L28" s="16">
        <v>68</v>
      </c>
      <c r="M28" s="16"/>
      <c r="N28" s="39"/>
      <c r="O28" s="39"/>
      <c r="P28" s="39">
        <f t="shared" si="0"/>
        <v>992</v>
      </c>
      <c r="Q28" s="40">
        <f t="shared" si="1"/>
        <v>1.2141982864137086</v>
      </c>
      <c r="T28" s="12"/>
    </row>
    <row r="29" spans="1:20" ht="14.25" customHeight="1" x14ac:dyDescent="0.25">
      <c r="A29" s="13">
        <v>24</v>
      </c>
      <c r="B29" s="14" t="s">
        <v>47</v>
      </c>
      <c r="C29" s="39">
        <v>62</v>
      </c>
      <c r="D29" s="39">
        <v>0</v>
      </c>
      <c r="E29" s="39">
        <v>0</v>
      </c>
      <c r="F29" s="39">
        <v>0</v>
      </c>
      <c r="G29" s="39">
        <v>0</v>
      </c>
      <c r="H29" s="39">
        <v>20</v>
      </c>
      <c r="I29" s="39">
        <v>0</v>
      </c>
      <c r="J29" s="39">
        <v>30</v>
      </c>
      <c r="K29" s="39">
        <v>0</v>
      </c>
      <c r="L29" s="16">
        <v>0</v>
      </c>
      <c r="M29" s="16"/>
      <c r="N29" s="39"/>
      <c r="O29" s="39"/>
      <c r="P29" s="39">
        <f t="shared" si="0"/>
        <v>50</v>
      </c>
      <c r="Q29" s="40">
        <f t="shared" si="1"/>
        <v>0.80645161290322576</v>
      </c>
      <c r="T29" s="12"/>
    </row>
    <row r="30" spans="1:20" ht="14.25" customHeight="1" x14ac:dyDescent="0.25">
      <c r="A30" s="13">
        <v>25</v>
      </c>
      <c r="B30" s="14" t="s">
        <v>48</v>
      </c>
      <c r="C30" s="39">
        <v>97</v>
      </c>
      <c r="D30" s="39">
        <v>0</v>
      </c>
      <c r="E30" s="39">
        <v>30</v>
      </c>
      <c r="F30" s="39">
        <v>0</v>
      </c>
      <c r="G30" s="39">
        <v>0</v>
      </c>
      <c r="H30" s="39">
        <v>10</v>
      </c>
      <c r="I30" s="39">
        <v>20</v>
      </c>
      <c r="J30" s="39">
        <v>0</v>
      </c>
      <c r="K30" s="39">
        <v>0</v>
      </c>
      <c r="L30" s="16">
        <v>0</v>
      </c>
      <c r="M30" s="16"/>
      <c r="N30" s="39"/>
      <c r="O30" s="39"/>
      <c r="P30" s="39">
        <f t="shared" si="0"/>
        <v>60</v>
      </c>
      <c r="Q30" s="40">
        <f t="shared" si="1"/>
        <v>0.61855670103092786</v>
      </c>
      <c r="T30" s="12"/>
    </row>
    <row r="31" spans="1:20" ht="14.25" customHeight="1" x14ac:dyDescent="0.25">
      <c r="A31" s="13">
        <v>26</v>
      </c>
      <c r="B31" s="14" t="s">
        <v>49</v>
      </c>
      <c r="C31" s="39">
        <v>205</v>
      </c>
      <c r="D31" s="39">
        <v>20</v>
      </c>
      <c r="E31" s="39">
        <v>30</v>
      </c>
      <c r="F31" s="39">
        <v>0</v>
      </c>
      <c r="G31" s="39">
        <v>0</v>
      </c>
      <c r="H31" s="39">
        <v>0</v>
      </c>
      <c r="I31" s="39">
        <v>30</v>
      </c>
      <c r="J31" s="39">
        <v>10</v>
      </c>
      <c r="K31" s="39">
        <v>10</v>
      </c>
      <c r="L31" s="16">
        <v>20</v>
      </c>
      <c r="M31" s="16"/>
      <c r="N31" s="39"/>
      <c r="O31" s="39"/>
      <c r="P31" s="39">
        <f t="shared" si="0"/>
        <v>120</v>
      </c>
      <c r="Q31" s="40">
        <f t="shared" si="1"/>
        <v>0.58536585365853655</v>
      </c>
      <c r="T31" s="12"/>
    </row>
    <row r="32" spans="1:20" ht="14.25" customHeight="1" x14ac:dyDescent="0.25">
      <c r="A32" s="13">
        <v>27</v>
      </c>
      <c r="B32" s="14" t="s">
        <v>50</v>
      </c>
      <c r="C32" s="39">
        <v>426</v>
      </c>
      <c r="D32" s="39">
        <v>40</v>
      </c>
      <c r="E32" s="39">
        <v>40</v>
      </c>
      <c r="F32" s="39">
        <v>119</v>
      </c>
      <c r="G32" s="39">
        <v>70</v>
      </c>
      <c r="H32" s="39">
        <v>90</v>
      </c>
      <c r="I32" s="39">
        <v>110</v>
      </c>
      <c r="J32" s="39">
        <v>60</v>
      </c>
      <c r="K32" s="39">
        <v>50</v>
      </c>
      <c r="L32" s="16">
        <v>100</v>
      </c>
      <c r="M32" s="16"/>
      <c r="N32" s="39"/>
      <c r="O32" s="39"/>
      <c r="P32" s="39">
        <f t="shared" si="0"/>
        <v>679</v>
      </c>
      <c r="Q32" s="40">
        <f t="shared" si="1"/>
        <v>1.5938967136150235</v>
      </c>
      <c r="T32" s="12"/>
    </row>
    <row r="33" spans="1:20" ht="14.25" customHeight="1" x14ac:dyDescent="0.25">
      <c r="A33" s="13">
        <v>28</v>
      </c>
      <c r="B33" s="14" t="s">
        <v>51</v>
      </c>
      <c r="C33" s="39">
        <v>737</v>
      </c>
      <c r="D33" s="39">
        <v>130</v>
      </c>
      <c r="E33" s="39">
        <v>150</v>
      </c>
      <c r="F33" s="39">
        <v>30</v>
      </c>
      <c r="G33" s="39">
        <v>99</v>
      </c>
      <c r="H33" s="39">
        <v>300</v>
      </c>
      <c r="I33" s="39">
        <v>270</v>
      </c>
      <c r="J33" s="39">
        <v>189</v>
      </c>
      <c r="K33" s="39">
        <v>50</v>
      </c>
      <c r="L33" s="16">
        <v>20</v>
      </c>
      <c r="M33" s="16"/>
      <c r="N33" s="39"/>
      <c r="O33" s="39"/>
      <c r="P33" s="39">
        <f t="shared" si="0"/>
        <v>1238</v>
      </c>
      <c r="Q33" s="40">
        <f t="shared" si="1"/>
        <v>1.6797829036635006</v>
      </c>
      <c r="T33" s="12"/>
    </row>
    <row r="34" spans="1:20" ht="14.25" customHeight="1" x14ac:dyDescent="0.25">
      <c r="A34" s="13">
        <v>29</v>
      </c>
      <c r="B34" s="14" t="s">
        <v>52</v>
      </c>
      <c r="C34" s="39">
        <v>355</v>
      </c>
      <c r="D34" s="39">
        <v>20</v>
      </c>
      <c r="E34" s="39">
        <v>20</v>
      </c>
      <c r="F34" s="39">
        <v>10</v>
      </c>
      <c r="G34" s="39">
        <v>0</v>
      </c>
      <c r="H34" s="39">
        <v>10</v>
      </c>
      <c r="I34" s="39">
        <v>0</v>
      </c>
      <c r="J34" s="39">
        <v>10</v>
      </c>
      <c r="K34" s="39">
        <v>10</v>
      </c>
      <c r="L34" s="16">
        <v>10</v>
      </c>
      <c r="M34" s="16"/>
      <c r="N34" s="39"/>
      <c r="O34" s="39"/>
      <c r="P34" s="39">
        <f t="shared" si="0"/>
        <v>90</v>
      </c>
      <c r="Q34" s="40">
        <f t="shared" si="1"/>
        <v>0.25352112676056338</v>
      </c>
      <c r="T34" s="12"/>
    </row>
    <row r="35" spans="1:20" ht="14.25" customHeight="1" x14ac:dyDescent="0.25">
      <c r="A35" s="13">
        <v>30</v>
      </c>
      <c r="B35" s="14" t="s">
        <v>53</v>
      </c>
      <c r="C35" s="39">
        <v>2975</v>
      </c>
      <c r="D35" s="39">
        <v>110</v>
      </c>
      <c r="E35" s="39">
        <v>1098</v>
      </c>
      <c r="F35" s="39">
        <v>0</v>
      </c>
      <c r="G35" s="39">
        <v>340</v>
      </c>
      <c r="H35" s="39">
        <v>630</v>
      </c>
      <c r="I35" s="39">
        <v>0</v>
      </c>
      <c r="J35" s="39">
        <v>0</v>
      </c>
      <c r="K35" s="39">
        <v>0</v>
      </c>
      <c r="L35" s="16">
        <v>199</v>
      </c>
      <c r="M35" s="16"/>
      <c r="N35" s="39"/>
      <c r="O35" s="39"/>
      <c r="P35" s="39">
        <f t="shared" si="0"/>
        <v>2377</v>
      </c>
      <c r="Q35" s="40">
        <f t="shared" si="1"/>
        <v>0.79899159663865549</v>
      </c>
      <c r="T35" s="12"/>
    </row>
    <row r="36" spans="1:20" ht="14.25" customHeight="1" x14ac:dyDescent="0.25">
      <c r="A36" s="13">
        <v>31</v>
      </c>
      <c r="B36" s="14" t="s">
        <v>54</v>
      </c>
      <c r="C36" s="39">
        <v>124</v>
      </c>
      <c r="D36" s="39">
        <v>10</v>
      </c>
      <c r="E36" s="39">
        <v>0</v>
      </c>
      <c r="F36" s="39">
        <v>0</v>
      </c>
      <c r="G36" s="39">
        <v>10</v>
      </c>
      <c r="H36" s="39">
        <v>0</v>
      </c>
      <c r="I36" s="39">
        <v>0</v>
      </c>
      <c r="J36" s="39">
        <v>0</v>
      </c>
      <c r="K36" s="39">
        <v>10</v>
      </c>
      <c r="L36" s="16">
        <v>0</v>
      </c>
      <c r="M36" s="16"/>
      <c r="N36" s="39"/>
      <c r="O36" s="39"/>
      <c r="P36" s="39">
        <f t="shared" si="0"/>
        <v>30</v>
      </c>
      <c r="Q36" s="40">
        <f t="shared" si="1"/>
        <v>0.24193548387096775</v>
      </c>
      <c r="T36" s="12"/>
    </row>
    <row r="37" spans="1:20" ht="14.25" customHeight="1" x14ac:dyDescent="0.25">
      <c r="A37" s="13">
        <v>32</v>
      </c>
      <c r="B37" s="14" t="s">
        <v>55</v>
      </c>
      <c r="C37" s="39">
        <v>231</v>
      </c>
      <c r="D37" s="39">
        <v>20</v>
      </c>
      <c r="E37" s="39">
        <v>0</v>
      </c>
      <c r="F37" s="39">
        <v>20</v>
      </c>
      <c r="G37" s="39">
        <v>20</v>
      </c>
      <c r="H37" s="39">
        <v>0</v>
      </c>
      <c r="I37" s="39">
        <v>0</v>
      </c>
      <c r="J37" s="39">
        <v>10</v>
      </c>
      <c r="K37" s="39">
        <v>10</v>
      </c>
      <c r="L37" s="16">
        <v>10</v>
      </c>
      <c r="M37" s="16"/>
      <c r="N37" s="39"/>
      <c r="O37" s="39"/>
      <c r="P37" s="39">
        <f t="shared" si="0"/>
        <v>90</v>
      </c>
      <c r="Q37" s="40">
        <f t="shared" si="1"/>
        <v>0.38961038961038963</v>
      </c>
      <c r="T37" s="12"/>
    </row>
    <row r="38" spans="1:20" ht="14.25" customHeight="1" x14ac:dyDescent="0.25">
      <c r="A38" s="13">
        <v>33</v>
      </c>
      <c r="B38" s="14" t="s">
        <v>56</v>
      </c>
      <c r="C38" s="39">
        <v>0</v>
      </c>
      <c r="D38" s="39">
        <v>0</v>
      </c>
      <c r="E38" s="39">
        <v>0</v>
      </c>
      <c r="F38" s="39">
        <v>0</v>
      </c>
      <c r="G38" s="39">
        <v>0</v>
      </c>
      <c r="H38" s="39">
        <v>20</v>
      </c>
      <c r="I38" s="39">
        <v>0</v>
      </c>
      <c r="J38" s="39">
        <v>10</v>
      </c>
      <c r="K38" s="39">
        <v>0</v>
      </c>
      <c r="L38" s="16">
        <v>0</v>
      </c>
      <c r="M38" s="16"/>
      <c r="N38" s="39"/>
      <c r="O38" s="39"/>
      <c r="P38" s="39">
        <f t="shared" si="0"/>
        <v>30</v>
      </c>
      <c r="Q38" s="40">
        <f t="shared" si="1"/>
        <v>0</v>
      </c>
      <c r="T38" s="12"/>
    </row>
    <row r="39" spans="1:20" ht="14.25" customHeight="1" x14ac:dyDescent="0.25">
      <c r="A39" s="13">
        <v>34</v>
      </c>
      <c r="B39" s="14" t="s">
        <v>57</v>
      </c>
      <c r="C39" s="39">
        <v>97</v>
      </c>
      <c r="D39" s="39">
        <v>0</v>
      </c>
      <c r="E39" s="39">
        <v>20</v>
      </c>
      <c r="F39" s="39">
        <v>80</v>
      </c>
      <c r="G39" s="39">
        <v>10</v>
      </c>
      <c r="H39" s="39">
        <v>10</v>
      </c>
      <c r="I39" s="39">
        <v>20</v>
      </c>
      <c r="J39" s="39">
        <v>10</v>
      </c>
      <c r="K39" s="39">
        <v>10</v>
      </c>
      <c r="L39" s="16">
        <v>10</v>
      </c>
      <c r="M39" s="16"/>
      <c r="N39" s="39"/>
      <c r="O39" s="39"/>
      <c r="P39" s="39">
        <f t="shared" si="0"/>
        <v>170</v>
      </c>
      <c r="Q39" s="40">
        <f t="shared" si="1"/>
        <v>1.7525773195876289</v>
      </c>
      <c r="T39" s="12"/>
    </row>
    <row r="40" spans="1:20" ht="14.25" customHeight="1" x14ac:dyDescent="0.25">
      <c r="A40" s="13">
        <v>35</v>
      </c>
      <c r="B40" s="14" t="s">
        <v>58</v>
      </c>
      <c r="C40" s="39">
        <v>0</v>
      </c>
      <c r="D40" s="39">
        <v>0</v>
      </c>
      <c r="E40" s="39">
        <v>0</v>
      </c>
      <c r="F40" s="39">
        <v>0</v>
      </c>
      <c r="G40" s="39">
        <v>0</v>
      </c>
      <c r="H40" s="39">
        <v>0</v>
      </c>
      <c r="I40" s="39">
        <v>0</v>
      </c>
      <c r="J40" s="39">
        <v>0</v>
      </c>
      <c r="K40" s="39">
        <v>0</v>
      </c>
      <c r="L40" s="16">
        <v>0</v>
      </c>
      <c r="M40" s="16"/>
      <c r="N40" s="39"/>
      <c r="O40" s="39"/>
      <c r="P40" s="39">
        <f t="shared" si="0"/>
        <v>0</v>
      </c>
      <c r="Q40" s="40">
        <f t="shared" si="1"/>
        <v>0</v>
      </c>
      <c r="T40" s="12"/>
    </row>
    <row r="41" spans="1:20" ht="14.25" customHeight="1" x14ac:dyDescent="0.25">
      <c r="A41" s="13">
        <v>36</v>
      </c>
      <c r="B41" s="14" t="s">
        <v>59</v>
      </c>
      <c r="C41" s="39">
        <v>53</v>
      </c>
      <c r="D41" s="39">
        <v>0</v>
      </c>
      <c r="E41" s="39">
        <v>0</v>
      </c>
      <c r="F41" s="39">
        <v>10</v>
      </c>
      <c r="G41" s="39">
        <v>10</v>
      </c>
      <c r="H41" s="39">
        <v>10</v>
      </c>
      <c r="I41" s="39">
        <v>10</v>
      </c>
      <c r="J41" s="39">
        <v>10</v>
      </c>
      <c r="K41" s="39">
        <v>10</v>
      </c>
      <c r="L41" s="16">
        <v>0</v>
      </c>
      <c r="M41" s="16"/>
      <c r="N41" s="39"/>
      <c r="O41" s="39"/>
      <c r="P41" s="39">
        <f t="shared" si="0"/>
        <v>60</v>
      </c>
      <c r="Q41" s="40">
        <f t="shared" si="1"/>
        <v>1.1320754716981132</v>
      </c>
      <c r="T41" s="12"/>
    </row>
    <row r="42" spans="1:20" ht="14.25" customHeight="1" x14ac:dyDescent="0.25">
      <c r="A42" s="13">
        <v>37</v>
      </c>
      <c r="B42" s="14" t="s">
        <v>60</v>
      </c>
      <c r="C42" s="39">
        <v>0</v>
      </c>
      <c r="D42" s="39">
        <v>0</v>
      </c>
      <c r="E42" s="39">
        <v>0</v>
      </c>
      <c r="F42" s="39">
        <v>0</v>
      </c>
      <c r="G42" s="39">
        <v>0</v>
      </c>
      <c r="H42" s="39">
        <v>0</v>
      </c>
      <c r="I42" s="39">
        <v>0</v>
      </c>
      <c r="J42" s="39">
        <v>10</v>
      </c>
      <c r="K42" s="39">
        <v>0</v>
      </c>
      <c r="L42" s="16">
        <v>0</v>
      </c>
      <c r="M42" s="16"/>
      <c r="N42" s="39"/>
      <c r="O42" s="39"/>
      <c r="P42" s="39">
        <f t="shared" si="0"/>
        <v>10</v>
      </c>
      <c r="Q42" s="40">
        <f t="shared" si="1"/>
        <v>0</v>
      </c>
      <c r="T42" s="12"/>
    </row>
    <row r="43" spans="1:20" ht="14.25" customHeight="1" x14ac:dyDescent="0.25">
      <c r="A43" s="13">
        <v>38</v>
      </c>
      <c r="B43" s="14" t="s">
        <v>61</v>
      </c>
      <c r="C43" s="39">
        <v>0</v>
      </c>
      <c r="D43" s="39">
        <v>0</v>
      </c>
      <c r="E43" s="39">
        <v>0</v>
      </c>
      <c r="F43" s="39">
        <v>0</v>
      </c>
      <c r="G43" s="39">
        <v>0</v>
      </c>
      <c r="H43" s="39">
        <v>0</v>
      </c>
      <c r="I43" s="39">
        <v>0</v>
      </c>
      <c r="J43" s="39">
        <v>0</v>
      </c>
      <c r="K43" s="39">
        <v>0</v>
      </c>
      <c r="L43" s="16">
        <v>0</v>
      </c>
      <c r="M43" s="16"/>
      <c r="N43" s="39"/>
      <c r="O43" s="39"/>
      <c r="P43" s="39">
        <f t="shared" si="0"/>
        <v>0</v>
      </c>
      <c r="Q43" s="40">
        <f t="shared" si="1"/>
        <v>0</v>
      </c>
      <c r="T43" s="12"/>
    </row>
    <row r="44" spans="1:20" ht="14.25" customHeight="1" x14ac:dyDescent="0.25">
      <c r="A44" s="13">
        <v>39</v>
      </c>
      <c r="B44" s="14" t="s">
        <v>62</v>
      </c>
      <c r="C44" s="39">
        <v>0</v>
      </c>
      <c r="D44" s="39">
        <v>0</v>
      </c>
      <c r="E44" s="39">
        <v>0</v>
      </c>
      <c r="F44" s="39">
        <v>0</v>
      </c>
      <c r="G44" s="39">
        <v>10</v>
      </c>
      <c r="H44" s="39">
        <v>0</v>
      </c>
      <c r="I44" s="39">
        <v>10</v>
      </c>
      <c r="J44" s="39">
        <v>10</v>
      </c>
      <c r="K44" s="39">
        <v>10</v>
      </c>
      <c r="L44" s="16">
        <v>0</v>
      </c>
      <c r="M44" s="16"/>
      <c r="N44" s="39"/>
      <c r="O44" s="39"/>
      <c r="P44" s="39">
        <f t="shared" si="0"/>
        <v>40</v>
      </c>
      <c r="Q44" s="40">
        <f t="shared" si="1"/>
        <v>0</v>
      </c>
      <c r="T44" s="12"/>
    </row>
    <row r="45" spans="1:20" ht="14.25" customHeight="1" x14ac:dyDescent="0.25">
      <c r="A45" s="13">
        <v>40</v>
      </c>
      <c r="B45" s="14" t="s">
        <v>63</v>
      </c>
      <c r="C45" s="39">
        <v>18</v>
      </c>
      <c r="D45" s="39">
        <v>0</v>
      </c>
      <c r="E45" s="39">
        <v>0</v>
      </c>
      <c r="F45" s="39">
        <v>0</v>
      </c>
      <c r="G45" s="39">
        <v>0</v>
      </c>
      <c r="H45" s="39">
        <v>0</v>
      </c>
      <c r="I45" s="39">
        <v>0</v>
      </c>
      <c r="J45" s="39">
        <v>40</v>
      </c>
      <c r="K45" s="39">
        <v>20</v>
      </c>
      <c r="L45" s="16">
        <v>10</v>
      </c>
      <c r="M45" s="16"/>
      <c r="N45" s="39"/>
      <c r="O45" s="39"/>
      <c r="P45" s="39">
        <f t="shared" si="0"/>
        <v>70</v>
      </c>
      <c r="Q45" s="40">
        <f t="shared" si="1"/>
        <v>3.8888888888888888</v>
      </c>
      <c r="T45" s="12"/>
    </row>
    <row r="46" spans="1:20" ht="14.25" customHeight="1" x14ac:dyDescent="0.25">
      <c r="A46" s="13">
        <v>41</v>
      </c>
      <c r="B46" s="14" t="s">
        <v>64</v>
      </c>
      <c r="C46" s="39">
        <v>169</v>
      </c>
      <c r="D46" s="39">
        <v>20</v>
      </c>
      <c r="E46" s="39">
        <v>20</v>
      </c>
      <c r="F46" s="39">
        <v>0</v>
      </c>
      <c r="G46" s="39">
        <v>30</v>
      </c>
      <c r="H46" s="39">
        <v>20</v>
      </c>
      <c r="I46" s="39">
        <v>30</v>
      </c>
      <c r="J46" s="39">
        <v>2</v>
      </c>
      <c r="K46" s="39">
        <v>20</v>
      </c>
      <c r="L46" s="16">
        <v>10</v>
      </c>
      <c r="M46" s="16"/>
      <c r="N46" s="39"/>
      <c r="O46" s="39"/>
      <c r="P46" s="39">
        <f t="shared" si="0"/>
        <v>152</v>
      </c>
      <c r="Q46" s="40">
        <f t="shared" si="1"/>
        <v>0.89940828402366868</v>
      </c>
      <c r="T46" s="12"/>
    </row>
    <row r="47" spans="1:20" ht="14.25" customHeight="1" x14ac:dyDescent="0.25">
      <c r="A47" s="18">
        <v>42</v>
      </c>
      <c r="B47" s="19" t="s">
        <v>65</v>
      </c>
      <c r="C47" s="41">
        <v>142</v>
      </c>
      <c r="D47" s="41">
        <v>0</v>
      </c>
      <c r="E47" s="41">
        <v>58</v>
      </c>
      <c r="F47" s="41">
        <v>20</v>
      </c>
      <c r="G47" s="41">
        <v>10</v>
      </c>
      <c r="H47" s="41">
        <v>10</v>
      </c>
      <c r="I47" s="41">
        <v>0</v>
      </c>
      <c r="J47" s="41">
        <v>20</v>
      </c>
      <c r="K47" s="41">
        <v>10</v>
      </c>
      <c r="L47" s="21">
        <v>10</v>
      </c>
      <c r="M47" s="21"/>
      <c r="N47" s="41"/>
      <c r="O47" s="41"/>
      <c r="P47" s="41">
        <f t="shared" si="0"/>
        <v>138</v>
      </c>
      <c r="Q47" s="42">
        <f t="shared" si="1"/>
        <v>0.971830985915493</v>
      </c>
      <c r="T47" s="12"/>
    </row>
    <row r="48" spans="1:20" ht="14.25" customHeight="1" x14ac:dyDescent="0.25">
      <c r="A48" s="88" t="s">
        <v>66</v>
      </c>
      <c r="B48" s="89"/>
      <c r="C48" s="30">
        <f t="shared" ref="C48:P48" si="2">SUM(C6:C47)</f>
        <v>30638</v>
      </c>
      <c r="D48" s="30">
        <f t="shared" si="2"/>
        <v>1737</v>
      </c>
      <c r="E48" s="30">
        <f t="shared" si="2"/>
        <v>5772</v>
      </c>
      <c r="F48" s="30">
        <f t="shared" si="2"/>
        <v>6865</v>
      </c>
      <c r="G48" s="30">
        <f t="shared" si="2"/>
        <v>5797</v>
      </c>
      <c r="H48" s="30">
        <f t="shared" si="2"/>
        <v>5607</v>
      </c>
      <c r="I48" s="30">
        <f t="shared" si="2"/>
        <v>4179</v>
      </c>
      <c r="J48" s="30">
        <f t="shared" si="2"/>
        <v>2616</v>
      </c>
      <c r="K48" s="30">
        <f t="shared" si="2"/>
        <v>2208</v>
      </c>
      <c r="L48" s="30">
        <f t="shared" si="2"/>
        <v>1777</v>
      </c>
      <c r="M48" s="30">
        <f t="shared" si="2"/>
        <v>0</v>
      </c>
      <c r="N48" s="30">
        <f t="shared" si="2"/>
        <v>0</v>
      </c>
      <c r="O48" s="30">
        <f t="shared" si="2"/>
        <v>0</v>
      </c>
      <c r="P48" s="30">
        <f t="shared" si="2"/>
        <v>36558</v>
      </c>
      <c r="Q48" s="43">
        <f t="shared" si="1"/>
        <v>1.1932241007898687</v>
      </c>
      <c r="T48" s="12"/>
    </row>
    <row r="49" spans="12:12" ht="14.25" customHeight="1" x14ac:dyDescent="0.25"/>
    <row r="50" spans="12:12" ht="14.25" customHeight="1" x14ac:dyDescent="0.25"/>
    <row r="51" spans="12:12" ht="14.25" customHeight="1" x14ac:dyDescent="0.25">
      <c r="L51" s="31"/>
    </row>
    <row r="52" spans="12:12" ht="14.25" customHeight="1" x14ac:dyDescent="0.25"/>
    <row r="53" spans="12:12" ht="14.25" customHeight="1" x14ac:dyDescent="0.25"/>
    <row r="54" spans="12:12" ht="14.25" customHeight="1" x14ac:dyDescent="0.25"/>
    <row r="55" spans="12:12" ht="14.25" customHeight="1" x14ac:dyDescent="0.25"/>
    <row r="56" spans="12:12" ht="14.25" customHeight="1" x14ac:dyDescent="0.25"/>
    <row r="57" spans="12:12" ht="14.25" customHeight="1" x14ac:dyDescent="0.25"/>
    <row r="58" spans="12:12" ht="14.25" customHeight="1" x14ac:dyDescent="0.25"/>
    <row r="59" spans="12:12" ht="14.25" customHeight="1" x14ac:dyDescent="0.25"/>
    <row r="60" spans="12:12" ht="14.25" customHeight="1" x14ac:dyDescent="0.25"/>
    <row r="61" spans="12:12" ht="14.25" customHeight="1" x14ac:dyDescent="0.25"/>
    <row r="62" spans="12:12" ht="14.25" customHeight="1" x14ac:dyDescent="0.25"/>
    <row r="63" spans="12:12" ht="14.25" customHeight="1" x14ac:dyDescent="0.25"/>
    <row r="64" spans="12:12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3">
    <mergeCell ref="A1:Q1"/>
    <mergeCell ref="A2:Q2"/>
    <mergeCell ref="A4:A5"/>
    <mergeCell ref="B4:B5"/>
    <mergeCell ref="C4:C5"/>
    <mergeCell ref="D4:O4"/>
    <mergeCell ref="P4:P5"/>
    <mergeCell ref="A48:B48"/>
    <mergeCell ref="U6:U8"/>
    <mergeCell ref="U9:U10"/>
    <mergeCell ref="V9:V10"/>
    <mergeCell ref="W9:W10"/>
    <mergeCell ref="X9:X10"/>
    <mergeCell ref="Y9:Y10"/>
    <mergeCell ref="Z9:Z10"/>
    <mergeCell ref="AA9:AA10"/>
    <mergeCell ref="Q4:Q5"/>
    <mergeCell ref="V6:V8"/>
    <mergeCell ref="W6:W8"/>
    <mergeCell ref="X6:X8"/>
    <mergeCell ref="Y6:Y8"/>
    <mergeCell ref="Z6:Z8"/>
    <mergeCell ref="AA6:AA8"/>
  </mergeCells>
  <printOptions horizontalCentered="1" verticalCentered="1"/>
  <pageMargins left="0.70866141732283472" right="0.70866141732283472" top="0.74803149606299213" bottom="0.74803149606299213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A1:AA1000"/>
  <sheetViews>
    <sheetView workbookViewId="0">
      <selection activeCell="Z16" sqref="Z16"/>
    </sheetView>
  </sheetViews>
  <sheetFormatPr defaultColWidth="14.42578125" defaultRowHeight="15" customHeight="1" x14ac:dyDescent="0.25"/>
  <cols>
    <col min="1" max="1" width="4.140625" customWidth="1"/>
    <col min="2" max="3" width="15.85546875" customWidth="1"/>
    <col min="4" max="15" width="13.42578125" customWidth="1"/>
    <col min="16" max="16" width="11.5703125" customWidth="1"/>
    <col min="17" max="17" width="12.28515625" customWidth="1"/>
    <col min="18" max="18" width="8.7109375" customWidth="1"/>
    <col min="19" max="19" width="8.7109375" hidden="1" customWidth="1"/>
    <col min="20" max="20" width="8.7109375" customWidth="1"/>
    <col min="21" max="27" width="18.7109375" customWidth="1"/>
  </cols>
  <sheetData>
    <row r="1" spans="1:27" ht="14.25" customHeight="1" x14ac:dyDescent="0.25">
      <c r="A1" s="92" t="s">
        <v>73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</row>
    <row r="2" spans="1:27" ht="14.25" customHeight="1" x14ac:dyDescent="0.25">
      <c r="A2" s="92" t="s">
        <v>2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</row>
    <row r="3" spans="1:27" ht="14.2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27" ht="14.25" customHeight="1" x14ac:dyDescent="0.25">
      <c r="A4" s="85" t="s">
        <v>3</v>
      </c>
      <c r="B4" s="85" t="s">
        <v>4</v>
      </c>
      <c r="C4" s="94" t="s">
        <v>74</v>
      </c>
      <c r="D4" s="95" t="s">
        <v>6</v>
      </c>
      <c r="E4" s="96"/>
      <c r="F4" s="96"/>
      <c r="G4" s="96"/>
      <c r="H4" s="96"/>
      <c r="I4" s="96"/>
      <c r="J4" s="96"/>
      <c r="K4" s="96"/>
      <c r="L4" s="96"/>
      <c r="M4" s="96"/>
      <c r="N4" s="96"/>
      <c r="O4" s="89"/>
      <c r="P4" s="94" t="s">
        <v>7</v>
      </c>
      <c r="Q4" s="85" t="s">
        <v>8</v>
      </c>
    </row>
    <row r="5" spans="1:27" ht="24" customHeight="1" x14ac:dyDescent="0.25">
      <c r="A5" s="83"/>
      <c r="B5" s="83"/>
      <c r="C5" s="83"/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4" t="s">
        <v>14</v>
      </c>
      <c r="J5" s="3" t="s">
        <v>15</v>
      </c>
      <c r="K5" s="3" t="s">
        <v>16</v>
      </c>
      <c r="L5" s="3" t="s">
        <v>0</v>
      </c>
      <c r="M5" s="3" t="s">
        <v>17</v>
      </c>
      <c r="N5" s="3" t="s">
        <v>18</v>
      </c>
      <c r="O5" s="3" t="s">
        <v>19</v>
      </c>
      <c r="P5" s="83"/>
      <c r="Q5" s="83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4.25" customHeight="1" x14ac:dyDescent="0.25">
      <c r="A6" s="6">
        <v>1</v>
      </c>
      <c r="B6" s="7" t="s">
        <v>20</v>
      </c>
      <c r="C6" s="26">
        <v>3420</v>
      </c>
      <c r="D6" s="26">
        <v>0</v>
      </c>
      <c r="E6" s="26">
        <v>0</v>
      </c>
      <c r="F6" s="26">
        <v>0</v>
      </c>
      <c r="G6" s="26">
        <v>0</v>
      </c>
      <c r="H6" s="26">
        <v>0</v>
      </c>
      <c r="I6" s="26">
        <v>0</v>
      </c>
      <c r="J6" s="26">
        <v>0</v>
      </c>
      <c r="K6" s="26">
        <v>0</v>
      </c>
      <c r="L6" s="28">
        <v>3118.5</v>
      </c>
      <c r="M6" s="28"/>
      <c r="N6" s="44"/>
      <c r="O6" s="45"/>
      <c r="P6" s="26">
        <f t="shared" ref="P6:P47" si="0">SUM(D6:O6)</f>
        <v>3118.5</v>
      </c>
      <c r="Q6" s="38">
        <f t="shared" ref="Q6:Q47" si="1">IFERROR(P6/C6,0)</f>
        <v>0.9118421052631579</v>
      </c>
      <c r="S6" s="12">
        <f t="shared" ref="S6:S48" si="2">SUM(G6:I6)</f>
        <v>0</v>
      </c>
      <c r="U6" s="98"/>
      <c r="V6" s="97"/>
      <c r="W6" s="97"/>
      <c r="X6" s="97"/>
      <c r="Y6" s="97"/>
      <c r="Z6" s="97"/>
      <c r="AA6" s="97"/>
    </row>
    <row r="7" spans="1:27" ht="14.25" customHeight="1" x14ac:dyDescent="0.25">
      <c r="A7" s="13">
        <v>2</v>
      </c>
      <c r="B7" s="14" t="s">
        <v>25</v>
      </c>
      <c r="C7" s="28">
        <v>61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0.28000000000000003</v>
      </c>
      <c r="M7" s="28"/>
      <c r="N7" s="28"/>
      <c r="O7" s="14"/>
      <c r="P7" s="28">
        <f t="shared" si="0"/>
        <v>0.28000000000000003</v>
      </c>
      <c r="Q7" s="40">
        <f t="shared" si="1"/>
        <v>4.5901639344262304E-3</v>
      </c>
      <c r="S7" s="12">
        <f t="shared" si="2"/>
        <v>0</v>
      </c>
      <c r="U7" s="87"/>
      <c r="V7" s="87"/>
      <c r="W7" s="87"/>
      <c r="X7" s="87"/>
      <c r="Y7" s="87"/>
      <c r="Z7" s="87"/>
      <c r="AA7" s="87"/>
    </row>
    <row r="8" spans="1:27" ht="14.25" customHeight="1" x14ac:dyDescent="0.25">
      <c r="A8" s="13">
        <v>3</v>
      </c>
      <c r="B8" s="14" t="s">
        <v>26</v>
      </c>
      <c r="C8" s="28">
        <v>1661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2913.57</v>
      </c>
      <c r="M8" s="28"/>
      <c r="N8" s="28"/>
      <c r="O8" s="14"/>
      <c r="P8" s="28">
        <f t="shared" si="0"/>
        <v>2913.57</v>
      </c>
      <c r="Q8" s="40">
        <f t="shared" si="1"/>
        <v>1.7541059602649007</v>
      </c>
      <c r="S8" s="12">
        <f t="shared" si="2"/>
        <v>0</v>
      </c>
      <c r="U8" s="83"/>
      <c r="V8" s="83"/>
      <c r="W8" s="83"/>
      <c r="X8" s="83"/>
      <c r="Y8" s="83"/>
      <c r="Z8" s="83"/>
      <c r="AA8" s="83"/>
    </row>
    <row r="9" spans="1:27" ht="14.25" customHeight="1" x14ac:dyDescent="0.25">
      <c r="A9" s="13">
        <v>4</v>
      </c>
      <c r="B9" s="14" t="s">
        <v>27</v>
      </c>
      <c r="C9" s="28">
        <v>209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95.04</v>
      </c>
      <c r="J9" s="28">
        <v>0</v>
      </c>
      <c r="K9" s="28">
        <v>0</v>
      </c>
      <c r="L9" s="28">
        <v>0</v>
      </c>
      <c r="M9" s="28"/>
      <c r="N9" s="28"/>
      <c r="O9" s="14"/>
      <c r="P9" s="28">
        <f t="shared" si="0"/>
        <v>95.04</v>
      </c>
      <c r="Q9" s="40">
        <f t="shared" si="1"/>
        <v>0.45473684210526316</v>
      </c>
      <c r="S9" s="12">
        <f t="shared" si="2"/>
        <v>95.04</v>
      </c>
      <c r="U9" s="91"/>
      <c r="V9" s="84"/>
      <c r="W9" s="84"/>
      <c r="X9" s="82"/>
      <c r="Y9" s="84"/>
      <c r="Z9" s="84"/>
      <c r="AA9" s="82"/>
    </row>
    <row r="10" spans="1:27" ht="14.25" customHeight="1" x14ac:dyDescent="0.25">
      <c r="A10" s="13">
        <v>5</v>
      </c>
      <c r="B10" s="14" t="s">
        <v>28</v>
      </c>
      <c r="C10" s="28">
        <v>62</v>
      </c>
      <c r="D10" s="28">
        <v>0</v>
      </c>
      <c r="E10" s="28">
        <v>0</v>
      </c>
      <c r="F10" s="28">
        <v>0</v>
      </c>
      <c r="G10" s="28">
        <v>0</v>
      </c>
      <c r="H10" s="28">
        <v>0</v>
      </c>
      <c r="I10" s="28">
        <v>4</v>
      </c>
      <c r="J10" s="28">
        <v>0</v>
      </c>
      <c r="K10" s="28">
        <v>0</v>
      </c>
      <c r="L10" s="28">
        <v>23.2</v>
      </c>
      <c r="M10" s="28"/>
      <c r="N10" s="28"/>
      <c r="O10" s="14"/>
      <c r="P10" s="28">
        <f t="shared" si="0"/>
        <v>27.2</v>
      </c>
      <c r="Q10" s="40">
        <f t="shared" si="1"/>
        <v>0.43870967741935485</v>
      </c>
      <c r="S10" s="12">
        <f t="shared" si="2"/>
        <v>4</v>
      </c>
      <c r="U10" s="83"/>
      <c r="V10" s="83"/>
      <c r="W10" s="83"/>
      <c r="X10" s="83"/>
      <c r="Y10" s="83"/>
      <c r="Z10" s="83"/>
      <c r="AA10" s="83"/>
    </row>
    <row r="11" spans="1:27" ht="14.25" customHeight="1" x14ac:dyDescent="0.25">
      <c r="A11" s="13">
        <v>6</v>
      </c>
      <c r="B11" s="14" t="s">
        <v>29</v>
      </c>
      <c r="C11" s="28">
        <v>84</v>
      </c>
      <c r="D11" s="28">
        <v>0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  <c r="M11" s="28"/>
      <c r="N11" s="28"/>
      <c r="O11" s="14"/>
      <c r="P11" s="28">
        <f t="shared" si="0"/>
        <v>0</v>
      </c>
      <c r="Q11" s="40">
        <f t="shared" si="1"/>
        <v>0</v>
      </c>
      <c r="S11" s="12">
        <f t="shared" si="2"/>
        <v>0</v>
      </c>
    </row>
    <row r="12" spans="1:27" ht="14.25" customHeight="1" x14ac:dyDescent="0.25">
      <c r="A12" s="13">
        <v>7</v>
      </c>
      <c r="B12" s="14" t="s">
        <v>30</v>
      </c>
      <c r="C12" s="28">
        <v>21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  <c r="L12" s="28">
        <v>0</v>
      </c>
      <c r="M12" s="28"/>
      <c r="N12" s="28"/>
      <c r="O12" s="14"/>
      <c r="P12" s="28">
        <f t="shared" si="0"/>
        <v>0</v>
      </c>
      <c r="Q12" s="40">
        <f t="shared" si="1"/>
        <v>0</v>
      </c>
      <c r="S12" s="12">
        <f t="shared" si="2"/>
        <v>0</v>
      </c>
      <c r="V12" s="12"/>
      <c r="W12" s="12"/>
      <c r="X12" s="12"/>
      <c r="Y12" s="12"/>
      <c r="Z12" s="12"/>
      <c r="AA12" s="12"/>
    </row>
    <row r="13" spans="1:27" ht="14.25" customHeight="1" x14ac:dyDescent="0.25">
      <c r="A13" s="13">
        <v>8</v>
      </c>
      <c r="B13" s="14" t="s">
        <v>31</v>
      </c>
      <c r="C13" s="28">
        <v>4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/>
      <c r="N13" s="28"/>
      <c r="O13" s="14"/>
      <c r="P13" s="28">
        <f t="shared" si="0"/>
        <v>0</v>
      </c>
      <c r="Q13" s="40">
        <f t="shared" si="1"/>
        <v>0</v>
      </c>
      <c r="S13" s="12">
        <f t="shared" si="2"/>
        <v>0</v>
      </c>
    </row>
    <row r="14" spans="1:27" ht="14.25" customHeight="1" x14ac:dyDescent="0.25">
      <c r="A14" s="13">
        <v>9</v>
      </c>
      <c r="B14" s="14" t="s">
        <v>32</v>
      </c>
      <c r="C14" s="28">
        <v>0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/>
      <c r="N14" s="28"/>
      <c r="O14" s="14"/>
      <c r="P14" s="28">
        <f t="shared" si="0"/>
        <v>0</v>
      </c>
      <c r="Q14" s="40">
        <f t="shared" si="1"/>
        <v>0</v>
      </c>
      <c r="S14" s="12">
        <f t="shared" si="2"/>
        <v>0</v>
      </c>
    </row>
    <row r="15" spans="1:27" ht="14.25" customHeight="1" x14ac:dyDescent="0.25">
      <c r="A15" s="13">
        <v>10</v>
      </c>
      <c r="B15" s="14" t="s">
        <v>33</v>
      </c>
      <c r="C15" s="28">
        <v>23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/>
      <c r="N15" s="28"/>
      <c r="O15" s="14"/>
      <c r="P15" s="28">
        <f t="shared" si="0"/>
        <v>0</v>
      </c>
      <c r="Q15" s="40">
        <f t="shared" si="1"/>
        <v>0</v>
      </c>
      <c r="S15" s="12">
        <f t="shared" si="2"/>
        <v>0</v>
      </c>
    </row>
    <row r="16" spans="1:27" ht="14.25" customHeight="1" x14ac:dyDescent="0.25">
      <c r="A16" s="13">
        <v>11</v>
      </c>
      <c r="B16" s="14" t="s">
        <v>34</v>
      </c>
      <c r="C16" s="28">
        <v>115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/>
      <c r="N16" s="28"/>
      <c r="O16" s="14"/>
      <c r="P16" s="28">
        <f t="shared" si="0"/>
        <v>0</v>
      </c>
      <c r="Q16" s="40">
        <f t="shared" si="1"/>
        <v>0</v>
      </c>
      <c r="S16" s="12">
        <f t="shared" si="2"/>
        <v>0</v>
      </c>
    </row>
    <row r="17" spans="1:19" ht="14.25" customHeight="1" x14ac:dyDescent="0.25">
      <c r="A17" s="13">
        <v>12</v>
      </c>
      <c r="B17" s="14" t="s">
        <v>35</v>
      </c>
      <c r="C17" s="28">
        <v>39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15.81</v>
      </c>
      <c r="J17" s="28">
        <v>0</v>
      </c>
      <c r="K17" s="28">
        <v>0</v>
      </c>
      <c r="L17" s="28">
        <v>0</v>
      </c>
      <c r="M17" s="28"/>
      <c r="N17" s="28"/>
      <c r="O17" s="14"/>
      <c r="P17" s="28">
        <f t="shared" si="0"/>
        <v>15.81</v>
      </c>
      <c r="Q17" s="40">
        <f t="shared" si="1"/>
        <v>0.4053846153846154</v>
      </c>
      <c r="S17" s="12">
        <f t="shared" si="2"/>
        <v>15.81</v>
      </c>
    </row>
    <row r="18" spans="1:19" ht="14.25" customHeight="1" x14ac:dyDescent="0.25">
      <c r="A18" s="13">
        <v>13</v>
      </c>
      <c r="B18" s="14" t="s">
        <v>36</v>
      </c>
      <c r="C18" s="28">
        <v>32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29.7</v>
      </c>
      <c r="M18" s="28"/>
      <c r="N18" s="28"/>
      <c r="O18" s="14"/>
      <c r="P18" s="28">
        <f t="shared" si="0"/>
        <v>29.7</v>
      </c>
      <c r="Q18" s="40">
        <f t="shared" si="1"/>
        <v>0.92812499999999998</v>
      </c>
      <c r="S18" s="12">
        <f t="shared" si="2"/>
        <v>0</v>
      </c>
    </row>
    <row r="19" spans="1:19" ht="14.25" customHeight="1" x14ac:dyDescent="0.25">
      <c r="A19" s="13">
        <v>14</v>
      </c>
      <c r="B19" s="14" t="s">
        <v>37</v>
      </c>
      <c r="C19" s="28">
        <v>48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35.64</v>
      </c>
      <c r="J19" s="28">
        <v>0</v>
      </c>
      <c r="K19" s="28">
        <v>0</v>
      </c>
      <c r="L19" s="28">
        <v>0</v>
      </c>
      <c r="M19" s="28"/>
      <c r="N19" s="28"/>
      <c r="O19" s="14"/>
      <c r="P19" s="28">
        <f t="shared" si="0"/>
        <v>35.64</v>
      </c>
      <c r="Q19" s="40">
        <f t="shared" si="1"/>
        <v>0.74250000000000005</v>
      </c>
      <c r="S19" s="12">
        <f t="shared" si="2"/>
        <v>35.64</v>
      </c>
    </row>
    <row r="20" spans="1:19" ht="14.25" customHeight="1" x14ac:dyDescent="0.25">
      <c r="A20" s="13">
        <v>15</v>
      </c>
      <c r="B20" s="14" t="s">
        <v>38</v>
      </c>
      <c r="C20" s="28">
        <v>10</v>
      </c>
      <c r="D20" s="28">
        <v>0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29.7</v>
      </c>
      <c r="M20" s="28"/>
      <c r="N20" s="28"/>
      <c r="O20" s="14"/>
      <c r="P20" s="28">
        <f t="shared" si="0"/>
        <v>29.7</v>
      </c>
      <c r="Q20" s="40">
        <f t="shared" si="1"/>
        <v>2.9699999999999998</v>
      </c>
      <c r="S20" s="12">
        <f t="shared" si="2"/>
        <v>0</v>
      </c>
    </row>
    <row r="21" spans="1:19" ht="14.25" customHeight="1" x14ac:dyDescent="0.25">
      <c r="A21" s="13">
        <v>16</v>
      </c>
      <c r="B21" s="14" t="s">
        <v>39</v>
      </c>
      <c r="C21" s="28">
        <v>109</v>
      </c>
      <c r="D21" s="28">
        <v>0</v>
      </c>
      <c r="E21" s="28">
        <v>0</v>
      </c>
      <c r="F21" s="28">
        <v>0</v>
      </c>
      <c r="G21" s="28">
        <v>0</v>
      </c>
      <c r="H21" s="28">
        <v>0</v>
      </c>
      <c r="I21" s="28">
        <v>60.89</v>
      </c>
      <c r="J21" s="28">
        <v>0</v>
      </c>
      <c r="K21" s="28">
        <v>0</v>
      </c>
      <c r="L21" s="28">
        <v>0</v>
      </c>
      <c r="M21" s="28"/>
      <c r="N21" s="28"/>
      <c r="O21" s="14"/>
      <c r="P21" s="28">
        <f t="shared" si="0"/>
        <v>60.89</v>
      </c>
      <c r="Q21" s="40">
        <f t="shared" si="1"/>
        <v>0.55862385321100916</v>
      </c>
      <c r="S21" s="12">
        <f t="shared" si="2"/>
        <v>60.89</v>
      </c>
    </row>
    <row r="22" spans="1:19" ht="14.25" customHeight="1" x14ac:dyDescent="0.25">
      <c r="A22" s="13">
        <v>17</v>
      </c>
      <c r="B22" s="14" t="s">
        <v>40</v>
      </c>
      <c r="C22" s="28">
        <v>19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130.05000000000001</v>
      </c>
      <c r="J22" s="28">
        <v>0</v>
      </c>
      <c r="K22" s="28">
        <v>0</v>
      </c>
      <c r="L22" s="28">
        <v>0</v>
      </c>
      <c r="M22" s="28"/>
      <c r="N22" s="28"/>
      <c r="O22" s="14"/>
      <c r="P22" s="28">
        <f t="shared" si="0"/>
        <v>130.05000000000001</v>
      </c>
      <c r="Q22" s="40">
        <f t="shared" si="1"/>
        <v>6.8447368421052639</v>
      </c>
      <c r="S22" s="12">
        <f t="shared" si="2"/>
        <v>130.05000000000001</v>
      </c>
    </row>
    <row r="23" spans="1:19" ht="14.25" customHeight="1" x14ac:dyDescent="0.25">
      <c r="A23" s="13">
        <v>18</v>
      </c>
      <c r="B23" s="14" t="s">
        <v>41</v>
      </c>
      <c r="C23" s="28">
        <v>50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97.65</v>
      </c>
      <c r="J23" s="28">
        <v>0</v>
      </c>
      <c r="K23" s="28">
        <v>0</v>
      </c>
      <c r="L23" s="28">
        <v>0</v>
      </c>
      <c r="M23" s="28"/>
      <c r="N23" s="28"/>
      <c r="O23" s="14"/>
      <c r="P23" s="28">
        <f t="shared" si="0"/>
        <v>97.65</v>
      </c>
      <c r="Q23" s="40">
        <f t="shared" si="1"/>
        <v>1.9530000000000001</v>
      </c>
      <c r="S23" s="12">
        <f t="shared" si="2"/>
        <v>97.65</v>
      </c>
    </row>
    <row r="24" spans="1:19" ht="14.25" customHeight="1" x14ac:dyDescent="0.25">
      <c r="A24" s="13">
        <v>19</v>
      </c>
      <c r="B24" s="14" t="s">
        <v>42</v>
      </c>
      <c r="C24" s="28">
        <v>7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41.85</v>
      </c>
      <c r="J24" s="28">
        <v>0</v>
      </c>
      <c r="K24" s="28">
        <v>0</v>
      </c>
      <c r="L24" s="28">
        <v>0</v>
      </c>
      <c r="M24" s="28"/>
      <c r="N24" s="28"/>
      <c r="O24" s="14"/>
      <c r="P24" s="28">
        <f t="shared" si="0"/>
        <v>41.85</v>
      </c>
      <c r="Q24" s="40">
        <f t="shared" si="1"/>
        <v>5.9785714285714286</v>
      </c>
      <c r="S24" s="12">
        <f t="shared" si="2"/>
        <v>41.85</v>
      </c>
    </row>
    <row r="25" spans="1:19" ht="14.25" customHeight="1" x14ac:dyDescent="0.25">
      <c r="A25" s="13">
        <v>20</v>
      </c>
      <c r="B25" s="14" t="s">
        <v>43</v>
      </c>
      <c r="C25" s="28">
        <v>44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29.7</v>
      </c>
      <c r="M25" s="28"/>
      <c r="N25" s="28"/>
      <c r="O25" s="14"/>
      <c r="P25" s="28">
        <f t="shared" si="0"/>
        <v>29.7</v>
      </c>
      <c r="Q25" s="40">
        <f t="shared" si="1"/>
        <v>0.67499999999999993</v>
      </c>
      <c r="S25" s="12">
        <f t="shared" si="2"/>
        <v>0</v>
      </c>
    </row>
    <row r="26" spans="1:19" ht="14.25" customHeight="1" x14ac:dyDescent="0.25">
      <c r="A26" s="13">
        <v>21</v>
      </c>
      <c r="B26" s="14" t="s">
        <v>44</v>
      </c>
      <c r="C26" s="28">
        <v>58</v>
      </c>
      <c r="D26" s="28">
        <v>0</v>
      </c>
      <c r="E26" s="28">
        <v>0</v>
      </c>
      <c r="F26" s="28">
        <v>5.07</v>
      </c>
      <c r="G26" s="28">
        <v>0</v>
      </c>
      <c r="H26" s="28">
        <v>0</v>
      </c>
      <c r="I26" s="28">
        <v>4.9800000000000004</v>
      </c>
      <c r="J26" s="28">
        <v>0</v>
      </c>
      <c r="K26" s="28">
        <v>0</v>
      </c>
      <c r="L26" s="28">
        <v>8.7899999999999991</v>
      </c>
      <c r="M26" s="28"/>
      <c r="N26" s="28"/>
      <c r="O26" s="14"/>
      <c r="P26" s="28">
        <f t="shared" si="0"/>
        <v>18.84</v>
      </c>
      <c r="Q26" s="40">
        <f t="shared" si="1"/>
        <v>0.32482758620689656</v>
      </c>
      <c r="S26" s="12">
        <f t="shared" si="2"/>
        <v>4.9800000000000004</v>
      </c>
    </row>
    <row r="27" spans="1:19" ht="14.25" customHeight="1" x14ac:dyDescent="0.25">
      <c r="A27" s="13">
        <v>22</v>
      </c>
      <c r="B27" s="14" t="s">
        <v>45</v>
      </c>
      <c r="C27" s="28">
        <v>20</v>
      </c>
      <c r="D27" s="28">
        <v>0</v>
      </c>
      <c r="E27" s="28">
        <v>0</v>
      </c>
      <c r="F27" s="28">
        <v>8.94</v>
      </c>
      <c r="G27" s="28">
        <v>0</v>
      </c>
      <c r="H27" s="28">
        <v>0</v>
      </c>
      <c r="I27" s="28">
        <v>8.94</v>
      </c>
      <c r="J27" s="28">
        <v>0</v>
      </c>
      <c r="K27" s="28">
        <v>0</v>
      </c>
      <c r="L27" s="28">
        <v>0</v>
      </c>
      <c r="M27" s="28"/>
      <c r="N27" s="28"/>
      <c r="O27" s="14"/>
      <c r="P27" s="28">
        <f t="shared" si="0"/>
        <v>17.88</v>
      </c>
      <c r="Q27" s="40">
        <f t="shared" si="1"/>
        <v>0.89399999999999991</v>
      </c>
      <c r="S27" s="12">
        <f t="shared" si="2"/>
        <v>8.94</v>
      </c>
    </row>
    <row r="28" spans="1:19" ht="14.25" customHeight="1" x14ac:dyDescent="0.25">
      <c r="A28" s="13">
        <v>23</v>
      </c>
      <c r="B28" s="14" t="s">
        <v>46</v>
      </c>
      <c r="C28" s="28">
        <v>28</v>
      </c>
      <c r="D28" s="28">
        <v>0</v>
      </c>
      <c r="E28" s="28">
        <v>0</v>
      </c>
      <c r="F28" s="28">
        <v>9.8000000000000007</v>
      </c>
      <c r="G28" s="28">
        <v>0</v>
      </c>
      <c r="H28" s="28">
        <v>0</v>
      </c>
      <c r="I28" s="28">
        <v>9.83</v>
      </c>
      <c r="J28" s="28">
        <v>0</v>
      </c>
      <c r="K28" s="28">
        <v>0</v>
      </c>
      <c r="L28" s="28">
        <v>3.28</v>
      </c>
      <c r="M28" s="28"/>
      <c r="N28" s="28"/>
      <c r="O28" s="14"/>
      <c r="P28" s="28">
        <f t="shared" si="0"/>
        <v>22.910000000000004</v>
      </c>
      <c r="Q28" s="40">
        <f t="shared" si="1"/>
        <v>0.81821428571428589</v>
      </c>
      <c r="S28" s="12">
        <f t="shared" si="2"/>
        <v>9.83</v>
      </c>
    </row>
    <row r="29" spans="1:19" ht="14.25" customHeight="1" x14ac:dyDescent="0.25">
      <c r="A29" s="13">
        <v>24</v>
      </c>
      <c r="B29" s="14" t="s">
        <v>47</v>
      </c>
      <c r="C29" s="28">
        <v>0</v>
      </c>
      <c r="D29" s="28">
        <v>0</v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v>0</v>
      </c>
      <c r="L29" s="28">
        <v>0</v>
      </c>
      <c r="M29" s="28"/>
      <c r="N29" s="28"/>
      <c r="O29" s="14"/>
      <c r="P29" s="28">
        <f t="shared" si="0"/>
        <v>0</v>
      </c>
      <c r="Q29" s="40">
        <f t="shared" si="1"/>
        <v>0</v>
      </c>
      <c r="S29" s="12">
        <f t="shared" si="2"/>
        <v>0</v>
      </c>
    </row>
    <row r="30" spans="1:19" ht="14.25" customHeight="1" x14ac:dyDescent="0.25">
      <c r="A30" s="13">
        <v>25</v>
      </c>
      <c r="B30" s="14" t="s">
        <v>48</v>
      </c>
      <c r="C30" s="28">
        <v>0</v>
      </c>
      <c r="D30" s="28">
        <v>0</v>
      </c>
      <c r="E30" s="28">
        <v>0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8">
        <v>0</v>
      </c>
      <c r="L30" s="28">
        <v>0</v>
      </c>
      <c r="M30" s="28"/>
      <c r="N30" s="28"/>
      <c r="O30" s="14"/>
      <c r="P30" s="28">
        <f t="shared" si="0"/>
        <v>0</v>
      </c>
      <c r="Q30" s="40">
        <f t="shared" si="1"/>
        <v>0</v>
      </c>
      <c r="S30" s="12">
        <f t="shared" si="2"/>
        <v>0</v>
      </c>
    </row>
    <row r="31" spans="1:19" ht="14.25" customHeight="1" x14ac:dyDescent="0.25">
      <c r="A31" s="13">
        <v>26</v>
      </c>
      <c r="B31" s="14" t="s">
        <v>49</v>
      </c>
      <c r="C31" s="28">
        <v>0</v>
      </c>
      <c r="D31" s="28">
        <v>0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/>
      <c r="N31" s="28"/>
      <c r="O31" s="14"/>
      <c r="P31" s="28">
        <f t="shared" si="0"/>
        <v>0</v>
      </c>
      <c r="Q31" s="40">
        <f t="shared" si="1"/>
        <v>0</v>
      </c>
      <c r="S31" s="12">
        <f t="shared" si="2"/>
        <v>0</v>
      </c>
    </row>
    <row r="32" spans="1:19" ht="14.25" customHeight="1" x14ac:dyDescent="0.25">
      <c r="A32" s="13">
        <v>27</v>
      </c>
      <c r="B32" s="14" t="s">
        <v>50</v>
      </c>
      <c r="C32" s="28">
        <v>0</v>
      </c>
      <c r="D32" s="28">
        <v>0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v>0</v>
      </c>
      <c r="K32" s="28">
        <v>0</v>
      </c>
      <c r="L32" s="28">
        <v>59.4</v>
      </c>
      <c r="M32" s="28"/>
      <c r="N32" s="28"/>
      <c r="O32" s="14"/>
      <c r="P32" s="28">
        <f t="shared" si="0"/>
        <v>59.4</v>
      </c>
      <c r="Q32" s="40">
        <f t="shared" si="1"/>
        <v>0</v>
      </c>
      <c r="S32" s="12">
        <f t="shared" si="2"/>
        <v>0</v>
      </c>
    </row>
    <row r="33" spans="1:19" ht="14.25" customHeight="1" x14ac:dyDescent="0.25">
      <c r="A33" s="13">
        <v>28</v>
      </c>
      <c r="B33" s="14" t="s">
        <v>51</v>
      </c>
      <c r="C33" s="28">
        <v>5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/>
      <c r="N33" s="28"/>
      <c r="O33" s="14"/>
      <c r="P33" s="28">
        <f t="shared" si="0"/>
        <v>0</v>
      </c>
      <c r="Q33" s="40">
        <f t="shared" si="1"/>
        <v>0</v>
      </c>
      <c r="S33" s="12">
        <f t="shared" si="2"/>
        <v>0</v>
      </c>
    </row>
    <row r="34" spans="1:19" ht="14.25" customHeight="1" x14ac:dyDescent="0.25">
      <c r="A34" s="13">
        <v>29</v>
      </c>
      <c r="B34" s="14" t="s">
        <v>52</v>
      </c>
      <c r="C34" s="28">
        <v>118</v>
      </c>
      <c r="D34" s="28">
        <v>0</v>
      </c>
      <c r="E34" s="28">
        <v>0</v>
      </c>
      <c r="F34" s="28">
        <v>0</v>
      </c>
      <c r="G34" s="28">
        <v>0</v>
      </c>
      <c r="H34" s="28">
        <v>0</v>
      </c>
      <c r="I34" s="28">
        <v>5.94</v>
      </c>
      <c r="J34" s="28">
        <v>0</v>
      </c>
      <c r="K34" s="28">
        <v>0</v>
      </c>
      <c r="L34" s="28">
        <v>0</v>
      </c>
      <c r="M34" s="28"/>
      <c r="N34" s="28"/>
      <c r="O34" s="14"/>
      <c r="P34" s="28">
        <f t="shared" si="0"/>
        <v>5.94</v>
      </c>
      <c r="Q34" s="40">
        <f t="shared" si="1"/>
        <v>5.0338983050847462E-2</v>
      </c>
      <c r="S34" s="12">
        <f t="shared" si="2"/>
        <v>5.94</v>
      </c>
    </row>
    <row r="35" spans="1:19" ht="14.25" customHeight="1" x14ac:dyDescent="0.25">
      <c r="A35" s="13">
        <v>30</v>
      </c>
      <c r="B35" s="14" t="s">
        <v>53</v>
      </c>
      <c r="C35" s="28">
        <v>7</v>
      </c>
      <c r="D35" s="28">
        <v>0</v>
      </c>
      <c r="E35" s="28">
        <v>0</v>
      </c>
      <c r="F35" s="28">
        <v>0</v>
      </c>
      <c r="G35" s="28">
        <v>0</v>
      </c>
      <c r="H35" s="28">
        <v>0</v>
      </c>
      <c r="I35" s="28">
        <v>0</v>
      </c>
      <c r="J35" s="28">
        <v>0</v>
      </c>
      <c r="K35" s="28">
        <v>0</v>
      </c>
      <c r="L35" s="28">
        <v>0</v>
      </c>
      <c r="M35" s="28"/>
      <c r="N35" s="28"/>
      <c r="O35" s="14"/>
      <c r="P35" s="28">
        <f t="shared" si="0"/>
        <v>0</v>
      </c>
      <c r="Q35" s="40">
        <f t="shared" si="1"/>
        <v>0</v>
      </c>
      <c r="S35" s="12">
        <f t="shared" si="2"/>
        <v>0</v>
      </c>
    </row>
    <row r="36" spans="1:19" ht="14.25" customHeight="1" x14ac:dyDescent="0.25">
      <c r="A36" s="13">
        <v>31</v>
      </c>
      <c r="B36" s="14" t="s">
        <v>54</v>
      </c>
      <c r="C36" s="28">
        <v>148</v>
      </c>
      <c r="D36" s="28">
        <v>0</v>
      </c>
      <c r="E36" s="28">
        <v>0</v>
      </c>
      <c r="F36" s="28">
        <v>0</v>
      </c>
      <c r="G36" s="28">
        <v>0</v>
      </c>
      <c r="H36" s="28">
        <v>0</v>
      </c>
      <c r="I36" s="28">
        <v>0</v>
      </c>
      <c r="J36" s="28">
        <v>0</v>
      </c>
      <c r="K36" s="28">
        <v>0</v>
      </c>
      <c r="L36" s="28">
        <v>0</v>
      </c>
      <c r="M36" s="28"/>
      <c r="N36" s="28"/>
      <c r="O36" s="14"/>
      <c r="P36" s="28">
        <f t="shared" si="0"/>
        <v>0</v>
      </c>
      <c r="Q36" s="40">
        <f t="shared" si="1"/>
        <v>0</v>
      </c>
      <c r="S36" s="12">
        <f t="shared" si="2"/>
        <v>0</v>
      </c>
    </row>
    <row r="37" spans="1:19" ht="14.25" customHeight="1" x14ac:dyDescent="0.25">
      <c r="A37" s="13">
        <v>32</v>
      </c>
      <c r="B37" s="14" t="s">
        <v>55</v>
      </c>
      <c r="C37" s="28">
        <v>8</v>
      </c>
      <c r="D37" s="28">
        <v>0</v>
      </c>
      <c r="E37" s="28">
        <v>0</v>
      </c>
      <c r="F37" s="28">
        <v>0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28">
        <v>0</v>
      </c>
      <c r="M37" s="28"/>
      <c r="N37" s="28"/>
      <c r="O37" s="14"/>
      <c r="P37" s="28">
        <f t="shared" si="0"/>
        <v>0</v>
      </c>
      <c r="Q37" s="40">
        <f t="shared" si="1"/>
        <v>0</v>
      </c>
      <c r="S37" s="12">
        <f t="shared" si="2"/>
        <v>0</v>
      </c>
    </row>
    <row r="38" spans="1:19" ht="14.25" customHeight="1" x14ac:dyDescent="0.25">
      <c r="A38" s="13">
        <v>33</v>
      </c>
      <c r="B38" s="14" t="s">
        <v>56</v>
      </c>
      <c r="C38" s="28">
        <v>20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/>
      <c r="N38" s="28"/>
      <c r="O38" s="14"/>
      <c r="P38" s="28">
        <f t="shared" si="0"/>
        <v>0</v>
      </c>
      <c r="Q38" s="40">
        <f t="shared" si="1"/>
        <v>0</v>
      </c>
      <c r="S38" s="12">
        <f t="shared" si="2"/>
        <v>0</v>
      </c>
    </row>
    <row r="39" spans="1:19" ht="14.25" customHeight="1" x14ac:dyDescent="0.25">
      <c r="A39" s="13">
        <v>34</v>
      </c>
      <c r="B39" s="14" t="s">
        <v>57</v>
      </c>
      <c r="C39" s="28">
        <v>0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/>
      <c r="N39" s="28"/>
      <c r="O39" s="14"/>
      <c r="P39" s="28">
        <f t="shared" si="0"/>
        <v>0</v>
      </c>
      <c r="Q39" s="40">
        <f t="shared" si="1"/>
        <v>0</v>
      </c>
      <c r="S39" s="12">
        <f t="shared" si="2"/>
        <v>0</v>
      </c>
    </row>
    <row r="40" spans="1:19" ht="14.25" customHeight="1" x14ac:dyDescent="0.25">
      <c r="A40" s="13">
        <v>35</v>
      </c>
      <c r="B40" s="14" t="s">
        <v>58</v>
      </c>
      <c r="C40" s="28">
        <v>11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/>
      <c r="N40" s="28"/>
      <c r="O40" s="14"/>
      <c r="P40" s="28">
        <f t="shared" si="0"/>
        <v>0</v>
      </c>
      <c r="Q40" s="40">
        <f t="shared" si="1"/>
        <v>0</v>
      </c>
      <c r="S40" s="12">
        <f t="shared" si="2"/>
        <v>0</v>
      </c>
    </row>
    <row r="41" spans="1:19" ht="14.25" customHeight="1" x14ac:dyDescent="0.25">
      <c r="A41" s="13">
        <v>36</v>
      </c>
      <c r="B41" s="14" t="s">
        <v>59</v>
      </c>
      <c r="C41" s="28">
        <v>0</v>
      </c>
      <c r="D41" s="28">
        <v>0</v>
      </c>
      <c r="E41" s="28">
        <v>0</v>
      </c>
      <c r="F41" s="28">
        <v>0</v>
      </c>
      <c r="G41" s="28">
        <v>0</v>
      </c>
      <c r="H41" s="28">
        <v>0</v>
      </c>
      <c r="I41" s="28">
        <v>0</v>
      </c>
      <c r="J41" s="28">
        <v>0</v>
      </c>
      <c r="K41" s="28">
        <v>0</v>
      </c>
      <c r="L41" s="28">
        <v>0</v>
      </c>
      <c r="M41" s="28"/>
      <c r="N41" s="28"/>
      <c r="O41" s="14"/>
      <c r="P41" s="28">
        <f t="shared" si="0"/>
        <v>0</v>
      </c>
      <c r="Q41" s="40">
        <f t="shared" si="1"/>
        <v>0</v>
      </c>
      <c r="S41" s="12">
        <f t="shared" si="2"/>
        <v>0</v>
      </c>
    </row>
    <row r="42" spans="1:19" ht="14.25" customHeight="1" x14ac:dyDescent="0.25">
      <c r="A42" s="13">
        <v>37</v>
      </c>
      <c r="B42" s="14" t="s">
        <v>60</v>
      </c>
      <c r="C42" s="28">
        <v>0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/>
      <c r="N42" s="28"/>
      <c r="O42" s="14"/>
      <c r="P42" s="28">
        <f t="shared" si="0"/>
        <v>0</v>
      </c>
      <c r="Q42" s="40">
        <f t="shared" si="1"/>
        <v>0</v>
      </c>
      <c r="S42" s="12">
        <f t="shared" si="2"/>
        <v>0</v>
      </c>
    </row>
    <row r="43" spans="1:19" ht="14.25" customHeight="1" x14ac:dyDescent="0.25">
      <c r="A43" s="13">
        <v>38</v>
      </c>
      <c r="B43" s="14" t="s">
        <v>61</v>
      </c>
      <c r="C43" s="28">
        <v>289</v>
      </c>
      <c r="D43" s="28">
        <v>0</v>
      </c>
      <c r="E43" s="28">
        <v>0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28">
        <v>0</v>
      </c>
      <c r="L43" s="28">
        <v>0</v>
      </c>
      <c r="M43" s="28"/>
      <c r="N43" s="28"/>
      <c r="O43" s="14"/>
      <c r="P43" s="28">
        <f t="shared" si="0"/>
        <v>0</v>
      </c>
      <c r="Q43" s="40">
        <f t="shared" si="1"/>
        <v>0</v>
      </c>
      <c r="S43" s="12">
        <f t="shared" si="2"/>
        <v>0</v>
      </c>
    </row>
    <row r="44" spans="1:19" ht="14.25" customHeight="1" x14ac:dyDescent="0.25">
      <c r="A44" s="13">
        <v>39</v>
      </c>
      <c r="B44" s="14" t="s">
        <v>62</v>
      </c>
      <c r="C44" s="28">
        <v>43</v>
      </c>
      <c r="D44" s="28">
        <v>0</v>
      </c>
      <c r="E44" s="28">
        <v>0</v>
      </c>
      <c r="F44" s="28">
        <v>4.51</v>
      </c>
      <c r="G44" s="28">
        <v>0</v>
      </c>
      <c r="H44" s="28">
        <v>0</v>
      </c>
      <c r="I44" s="28">
        <v>158.78</v>
      </c>
      <c r="J44" s="28">
        <v>0</v>
      </c>
      <c r="K44" s="28">
        <v>0</v>
      </c>
      <c r="L44" s="28">
        <v>0</v>
      </c>
      <c r="M44" s="28"/>
      <c r="N44" s="28"/>
      <c r="O44" s="14"/>
      <c r="P44" s="28">
        <f t="shared" si="0"/>
        <v>163.29</v>
      </c>
      <c r="Q44" s="40">
        <f t="shared" si="1"/>
        <v>3.7974418604651161</v>
      </c>
      <c r="S44" s="12">
        <f t="shared" si="2"/>
        <v>158.78</v>
      </c>
    </row>
    <row r="45" spans="1:19" ht="14.25" customHeight="1" x14ac:dyDescent="0.25">
      <c r="A45" s="13">
        <v>40</v>
      </c>
      <c r="B45" s="14" t="s">
        <v>63</v>
      </c>
      <c r="C45" s="28">
        <v>22</v>
      </c>
      <c r="D45" s="28">
        <v>0</v>
      </c>
      <c r="E45" s="28">
        <v>0</v>
      </c>
      <c r="F45" s="28">
        <v>0</v>
      </c>
      <c r="G45" s="28">
        <v>0</v>
      </c>
      <c r="H45" s="28">
        <v>0</v>
      </c>
      <c r="I45" s="28">
        <v>74.25</v>
      </c>
      <c r="J45" s="28">
        <v>0</v>
      </c>
      <c r="K45" s="28">
        <v>0</v>
      </c>
      <c r="L45" s="28">
        <v>0</v>
      </c>
      <c r="M45" s="28"/>
      <c r="N45" s="28"/>
      <c r="O45" s="14"/>
      <c r="P45" s="28">
        <f t="shared" si="0"/>
        <v>74.25</v>
      </c>
      <c r="Q45" s="40">
        <f t="shared" si="1"/>
        <v>3.375</v>
      </c>
      <c r="S45" s="12">
        <f t="shared" si="2"/>
        <v>74.25</v>
      </c>
    </row>
    <row r="46" spans="1:19" ht="14.25" customHeight="1" x14ac:dyDescent="0.25">
      <c r="A46" s="13">
        <v>41</v>
      </c>
      <c r="B46" s="14" t="s">
        <v>64</v>
      </c>
      <c r="C46" s="28">
        <v>182</v>
      </c>
      <c r="D46" s="28">
        <v>0</v>
      </c>
      <c r="E46" s="28">
        <v>0</v>
      </c>
      <c r="F46" s="28">
        <v>0</v>
      </c>
      <c r="G46" s="28">
        <v>0</v>
      </c>
      <c r="H46" s="28">
        <v>0</v>
      </c>
      <c r="I46" s="28">
        <v>0</v>
      </c>
      <c r="J46" s="28">
        <v>0</v>
      </c>
      <c r="K46" s="28">
        <v>0</v>
      </c>
      <c r="L46" s="28">
        <v>4455</v>
      </c>
      <c r="M46" s="28"/>
      <c r="N46" s="28"/>
      <c r="O46" s="14"/>
      <c r="P46" s="28">
        <f t="shared" si="0"/>
        <v>4455</v>
      </c>
      <c r="Q46" s="40">
        <f t="shared" si="1"/>
        <v>24.478021978021978</v>
      </c>
      <c r="S46" s="12">
        <f t="shared" si="2"/>
        <v>0</v>
      </c>
    </row>
    <row r="47" spans="1:19" ht="14.25" customHeight="1" x14ac:dyDescent="0.25">
      <c r="A47" s="18">
        <v>42</v>
      </c>
      <c r="B47" s="19" t="s">
        <v>65</v>
      </c>
      <c r="C47" s="29">
        <v>433</v>
      </c>
      <c r="D47" s="29">
        <v>0</v>
      </c>
      <c r="E47" s="29">
        <v>0</v>
      </c>
      <c r="F47" s="29">
        <v>0</v>
      </c>
      <c r="G47" s="29">
        <v>0</v>
      </c>
      <c r="H47" s="29">
        <v>0</v>
      </c>
      <c r="I47" s="29">
        <v>0</v>
      </c>
      <c r="J47" s="29">
        <v>0</v>
      </c>
      <c r="K47" s="29">
        <v>0</v>
      </c>
      <c r="L47" s="29">
        <v>594</v>
      </c>
      <c r="M47" s="28"/>
      <c r="N47" s="46"/>
      <c r="O47" s="47"/>
      <c r="P47" s="29">
        <f t="shared" si="0"/>
        <v>594</v>
      </c>
      <c r="Q47" s="42">
        <f t="shared" si="1"/>
        <v>1.371824480369515</v>
      </c>
      <c r="S47" s="12">
        <f t="shared" si="2"/>
        <v>0</v>
      </c>
    </row>
    <row r="48" spans="1:19" ht="14.25" customHeight="1" x14ac:dyDescent="0.25">
      <c r="A48" s="88" t="s">
        <v>66</v>
      </c>
      <c r="B48" s="89"/>
      <c r="C48" s="48">
        <f t="shared" ref="C48:P48" si="3">SUM(C6:C47)</f>
        <v>7410</v>
      </c>
      <c r="D48" s="49">
        <f t="shared" si="3"/>
        <v>0</v>
      </c>
      <c r="E48" s="49">
        <f t="shared" si="3"/>
        <v>0</v>
      </c>
      <c r="F48" s="49">
        <f t="shared" si="3"/>
        <v>28.32</v>
      </c>
      <c r="G48" s="49">
        <f t="shared" si="3"/>
        <v>0</v>
      </c>
      <c r="H48" s="49">
        <f t="shared" si="3"/>
        <v>0</v>
      </c>
      <c r="I48" s="49">
        <f t="shared" si="3"/>
        <v>743.65000000000009</v>
      </c>
      <c r="J48" s="49">
        <f t="shared" si="3"/>
        <v>0</v>
      </c>
      <c r="K48" s="49">
        <f t="shared" si="3"/>
        <v>0</v>
      </c>
      <c r="L48" s="49">
        <f t="shared" si="3"/>
        <v>11265.119999999999</v>
      </c>
      <c r="M48" s="49">
        <f t="shared" si="3"/>
        <v>0</v>
      </c>
      <c r="N48" s="49">
        <f t="shared" si="3"/>
        <v>0</v>
      </c>
      <c r="O48" s="49">
        <f t="shared" si="3"/>
        <v>0</v>
      </c>
      <c r="P48" s="49">
        <f t="shared" si="3"/>
        <v>12037.09</v>
      </c>
      <c r="Q48" s="43">
        <f>P48/C48</f>
        <v>1.624438596491228</v>
      </c>
      <c r="S48" s="12">
        <f t="shared" si="2"/>
        <v>743.65000000000009</v>
      </c>
    </row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3">
    <mergeCell ref="A1:Q1"/>
    <mergeCell ref="A2:Q2"/>
    <mergeCell ref="A4:A5"/>
    <mergeCell ref="B4:B5"/>
    <mergeCell ref="C4:C5"/>
    <mergeCell ref="D4:O4"/>
    <mergeCell ref="P4:P5"/>
    <mergeCell ref="A48:B48"/>
    <mergeCell ref="U6:U8"/>
    <mergeCell ref="U9:U10"/>
    <mergeCell ref="V9:V10"/>
    <mergeCell ref="W9:W10"/>
    <mergeCell ref="X9:X10"/>
    <mergeCell ref="Y9:Y10"/>
    <mergeCell ref="Z9:Z10"/>
    <mergeCell ref="AA9:AA10"/>
    <mergeCell ref="Q4:Q5"/>
    <mergeCell ref="V6:V8"/>
    <mergeCell ref="W6:W8"/>
    <mergeCell ref="X6:X8"/>
    <mergeCell ref="Y6:Y8"/>
    <mergeCell ref="Z6:Z8"/>
    <mergeCell ref="AA6:AA8"/>
  </mergeCells>
  <printOptions horizontalCentered="1" verticalCentered="1"/>
  <pageMargins left="0.70866141732283472" right="0.70866141732283472" top="0.74803149606299213" bottom="0.74803149606299213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1:AA1000"/>
  <sheetViews>
    <sheetView topLeftCell="A2" workbookViewId="0">
      <selection activeCell="Y18" sqref="Y18"/>
    </sheetView>
  </sheetViews>
  <sheetFormatPr defaultColWidth="14.42578125" defaultRowHeight="15" customHeight="1" x14ac:dyDescent="0.25"/>
  <cols>
    <col min="1" max="1" width="4.140625" customWidth="1"/>
    <col min="2" max="3" width="15.85546875" customWidth="1"/>
    <col min="4" max="15" width="13.140625" customWidth="1"/>
    <col min="16" max="16" width="11.5703125" customWidth="1"/>
    <col min="17" max="17" width="12.28515625" customWidth="1"/>
    <col min="18" max="20" width="8.7109375" customWidth="1"/>
    <col min="21" max="27" width="19.5703125" customWidth="1"/>
  </cols>
  <sheetData>
    <row r="1" spans="1:27" ht="14.25" customHeight="1" x14ac:dyDescent="0.25">
      <c r="A1" s="92" t="s">
        <v>75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</row>
    <row r="2" spans="1:27" ht="14.25" customHeight="1" x14ac:dyDescent="0.25">
      <c r="A2" s="92" t="s">
        <v>2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</row>
    <row r="3" spans="1:27" ht="14.2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27" ht="14.25" customHeight="1" x14ac:dyDescent="0.25">
      <c r="A4" s="85" t="s">
        <v>3</v>
      </c>
      <c r="B4" s="85" t="s">
        <v>4</v>
      </c>
      <c r="C4" s="94" t="s">
        <v>76</v>
      </c>
      <c r="D4" s="95" t="s">
        <v>6</v>
      </c>
      <c r="E4" s="96"/>
      <c r="F4" s="96"/>
      <c r="G4" s="96"/>
      <c r="H4" s="96"/>
      <c r="I4" s="96"/>
      <c r="J4" s="96"/>
      <c r="K4" s="96"/>
      <c r="L4" s="96"/>
      <c r="M4" s="96"/>
      <c r="N4" s="96"/>
      <c r="O4" s="89"/>
      <c r="P4" s="94" t="s">
        <v>7</v>
      </c>
      <c r="Q4" s="85" t="s">
        <v>8</v>
      </c>
    </row>
    <row r="5" spans="1:27" ht="37.5" customHeight="1" x14ac:dyDescent="0.25">
      <c r="A5" s="83"/>
      <c r="B5" s="83"/>
      <c r="C5" s="83"/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4" t="s">
        <v>14</v>
      </c>
      <c r="J5" s="3" t="s">
        <v>15</v>
      </c>
      <c r="K5" s="3" t="s">
        <v>16</v>
      </c>
      <c r="L5" s="3" t="s">
        <v>0</v>
      </c>
      <c r="M5" s="3" t="s">
        <v>17</v>
      </c>
      <c r="N5" s="3" t="s">
        <v>18</v>
      </c>
      <c r="O5" s="3" t="s">
        <v>19</v>
      </c>
      <c r="P5" s="83"/>
      <c r="Q5" s="83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4.25" customHeight="1" x14ac:dyDescent="0.25">
      <c r="A6" s="6">
        <v>1</v>
      </c>
      <c r="B6" s="7" t="s">
        <v>20</v>
      </c>
      <c r="C6" s="26">
        <v>0</v>
      </c>
      <c r="D6" s="26">
        <v>0</v>
      </c>
      <c r="E6" s="26">
        <v>0</v>
      </c>
      <c r="F6" s="26">
        <v>0</v>
      </c>
      <c r="G6" s="26">
        <v>0</v>
      </c>
      <c r="H6" s="26">
        <v>0</v>
      </c>
      <c r="I6" s="26">
        <v>0</v>
      </c>
      <c r="J6" s="26">
        <v>0</v>
      </c>
      <c r="K6" s="26">
        <v>0</v>
      </c>
      <c r="L6" s="26">
        <v>0</v>
      </c>
      <c r="M6" s="26"/>
      <c r="N6" s="26"/>
      <c r="O6" s="26"/>
      <c r="P6" s="26">
        <f t="shared" ref="P6:P11" si="0">SUM(D6:N6)</f>
        <v>0</v>
      </c>
      <c r="Q6" s="10" t="s">
        <v>77</v>
      </c>
      <c r="S6" s="27">
        <f t="shared" ref="S6:S47" si="1">IFERROR(L6*$L$52/100,0)</f>
        <v>0</v>
      </c>
      <c r="T6" s="12"/>
      <c r="U6" s="98"/>
      <c r="V6" s="97"/>
      <c r="W6" s="97"/>
      <c r="X6" s="97"/>
      <c r="Y6" s="97"/>
      <c r="Z6" s="97"/>
      <c r="AA6" s="97"/>
    </row>
    <row r="7" spans="1:27" ht="14.25" customHeight="1" x14ac:dyDescent="0.25">
      <c r="A7" s="13">
        <v>2</v>
      </c>
      <c r="B7" s="14" t="s">
        <v>25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/>
      <c r="N7" s="28"/>
      <c r="O7" s="28"/>
      <c r="P7" s="28">
        <f t="shared" si="0"/>
        <v>0</v>
      </c>
      <c r="Q7" s="17" t="s">
        <v>77</v>
      </c>
      <c r="S7" s="27">
        <f t="shared" si="1"/>
        <v>0</v>
      </c>
      <c r="T7" s="12"/>
      <c r="U7" s="87"/>
      <c r="V7" s="87"/>
      <c r="W7" s="87"/>
      <c r="X7" s="87"/>
      <c r="Y7" s="87"/>
      <c r="Z7" s="87"/>
      <c r="AA7" s="87"/>
    </row>
    <row r="8" spans="1:27" ht="14.25" customHeight="1" x14ac:dyDescent="0.25">
      <c r="A8" s="13">
        <v>3</v>
      </c>
      <c r="B8" s="14" t="s">
        <v>26</v>
      </c>
      <c r="C8" s="28">
        <v>471</v>
      </c>
      <c r="D8" s="28">
        <v>70.3</v>
      </c>
      <c r="E8" s="28">
        <v>0</v>
      </c>
      <c r="F8" s="28">
        <v>199</v>
      </c>
      <c r="G8" s="28">
        <v>57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/>
      <c r="N8" s="28"/>
      <c r="O8" s="28"/>
      <c r="P8" s="28">
        <f t="shared" si="0"/>
        <v>326.3</v>
      </c>
      <c r="Q8" s="17">
        <f>P8/C8</f>
        <v>0.6927813163481954</v>
      </c>
      <c r="S8" s="27">
        <f t="shared" si="1"/>
        <v>0</v>
      </c>
      <c r="T8" s="12"/>
      <c r="U8" s="83"/>
      <c r="V8" s="83"/>
      <c r="W8" s="83"/>
      <c r="X8" s="83"/>
      <c r="Y8" s="83"/>
      <c r="Z8" s="83"/>
      <c r="AA8" s="83"/>
    </row>
    <row r="9" spans="1:27" ht="14.25" customHeight="1" x14ac:dyDescent="0.25">
      <c r="A9" s="13">
        <v>4</v>
      </c>
      <c r="B9" s="14" t="s">
        <v>27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/>
      <c r="N9" s="28"/>
      <c r="O9" s="28"/>
      <c r="P9" s="28">
        <f t="shared" si="0"/>
        <v>0</v>
      </c>
      <c r="Q9" s="17" t="s">
        <v>77</v>
      </c>
      <c r="S9" s="27">
        <f t="shared" si="1"/>
        <v>0</v>
      </c>
      <c r="T9" s="12"/>
      <c r="U9" s="91"/>
      <c r="V9" s="84"/>
      <c r="W9" s="84"/>
      <c r="X9" s="82"/>
      <c r="Y9" s="84"/>
      <c r="Z9" s="84"/>
      <c r="AA9" s="82"/>
    </row>
    <row r="10" spans="1:27" ht="14.25" customHeight="1" x14ac:dyDescent="0.25">
      <c r="A10" s="13">
        <v>5</v>
      </c>
      <c r="B10" s="14" t="s">
        <v>28</v>
      </c>
      <c r="C10" s="28">
        <v>0</v>
      </c>
      <c r="D10" s="28">
        <v>0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  <c r="M10" s="28"/>
      <c r="N10" s="28"/>
      <c r="O10" s="28"/>
      <c r="P10" s="28">
        <f t="shared" si="0"/>
        <v>0</v>
      </c>
      <c r="Q10" s="17" t="s">
        <v>77</v>
      </c>
      <c r="S10" s="27">
        <f t="shared" si="1"/>
        <v>0</v>
      </c>
      <c r="T10" s="12"/>
      <c r="U10" s="83"/>
      <c r="V10" s="83"/>
      <c r="W10" s="83"/>
      <c r="X10" s="83"/>
      <c r="Y10" s="83"/>
      <c r="Z10" s="83"/>
      <c r="AA10" s="83"/>
    </row>
    <row r="11" spans="1:27" ht="14.25" customHeight="1" x14ac:dyDescent="0.25">
      <c r="A11" s="13">
        <v>6</v>
      </c>
      <c r="B11" s="14" t="s">
        <v>29</v>
      </c>
      <c r="C11" s="28">
        <v>0</v>
      </c>
      <c r="D11" s="28">
        <v>0</v>
      </c>
      <c r="E11" s="28">
        <v>2567</v>
      </c>
      <c r="F11" s="28">
        <v>4062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  <c r="M11" s="28"/>
      <c r="N11" s="28"/>
      <c r="O11" s="28"/>
      <c r="P11" s="28">
        <f t="shared" si="0"/>
        <v>6629</v>
      </c>
      <c r="Q11" s="17" t="s">
        <v>77</v>
      </c>
      <c r="S11" s="27">
        <f t="shared" si="1"/>
        <v>0</v>
      </c>
      <c r="T11" s="12"/>
    </row>
    <row r="12" spans="1:27" ht="14.25" customHeight="1" x14ac:dyDescent="0.25">
      <c r="A12" s="13">
        <v>7</v>
      </c>
      <c r="B12" s="14" t="s">
        <v>30</v>
      </c>
      <c r="C12" s="28">
        <v>5855</v>
      </c>
      <c r="D12" s="28">
        <v>468.2</v>
      </c>
      <c r="E12" s="28">
        <v>2411</v>
      </c>
      <c r="F12" s="28">
        <v>2275</v>
      </c>
      <c r="G12" s="28">
        <v>567</v>
      </c>
      <c r="H12" s="28">
        <v>470</v>
      </c>
      <c r="I12" s="28">
        <v>762</v>
      </c>
      <c r="J12" s="28">
        <v>235</v>
      </c>
      <c r="K12" s="28">
        <v>188</v>
      </c>
      <c r="L12" s="28">
        <v>258</v>
      </c>
      <c r="M12" s="28"/>
      <c r="N12" s="28"/>
      <c r="O12" s="28"/>
      <c r="P12" s="28">
        <f t="shared" ref="P12:P47" si="2">SUM(D12:O12)</f>
        <v>7634.2</v>
      </c>
      <c r="Q12" s="17">
        <f>P12/C12</f>
        <v>1.3038770281810419</v>
      </c>
      <c r="S12" s="27">
        <f t="shared" si="1"/>
        <v>0</v>
      </c>
      <c r="T12" s="12"/>
      <c r="V12" s="12"/>
      <c r="W12" s="12"/>
      <c r="X12" s="12"/>
      <c r="Y12" s="12"/>
      <c r="Z12" s="12"/>
      <c r="AA12" s="12"/>
    </row>
    <row r="13" spans="1:27" ht="14.25" customHeight="1" x14ac:dyDescent="0.25">
      <c r="A13" s="13">
        <v>8</v>
      </c>
      <c r="B13" s="14" t="s">
        <v>31</v>
      </c>
      <c r="C13" s="28">
        <v>0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/>
      <c r="N13" s="28"/>
      <c r="O13" s="28"/>
      <c r="P13" s="28">
        <f t="shared" si="2"/>
        <v>0</v>
      </c>
      <c r="Q13" s="17" t="s">
        <v>77</v>
      </c>
      <c r="S13" s="27">
        <f t="shared" si="1"/>
        <v>0</v>
      </c>
      <c r="T13" s="12"/>
    </row>
    <row r="14" spans="1:27" ht="14.25" customHeight="1" x14ac:dyDescent="0.25">
      <c r="A14" s="13">
        <v>9</v>
      </c>
      <c r="B14" s="14" t="s">
        <v>32</v>
      </c>
      <c r="C14" s="28">
        <v>0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/>
      <c r="N14" s="28"/>
      <c r="O14" s="28"/>
      <c r="P14" s="28">
        <f t="shared" si="2"/>
        <v>0</v>
      </c>
      <c r="Q14" s="17" t="s">
        <v>77</v>
      </c>
      <c r="S14" s="27">
        <f t="shared" si="1"/>
        <v>0</v>
      </c>
      <c r="T14" s="12"/>
    </row>
    <row r="15" spans="1:27" ht="14.25" customHeight="1" x14ac:dyDescent="0.25">
      <c r="A15" s="13">
        <v>10</v>
      </c>
      <c r="B15" s="14" t="s">
        <v>33</v>
      </c>
      <c r="C15" s="28">
        <v>0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/>
      <c r="N15" s="28"/>
      <c r="O15" s="28"/>
      <c r="P15" s="28">
        <f t="shared" si="2"/>
        <v>0</v>
      </c>
      <c r="Q15" s="17" t="s">
        <v>77</v>
      </c>
      <c r="S15" s="27">
        <f t="shared" si="1"/>
        <v>0</v>
      </c>
      <c r="T15" s="12"/>
    </row>
    <row r="16" spans="1:27" ht="14.25" customHeight="1" x14ac:dyDescent="0.25">
      <c r="A16" s="13">
        <v>11</v>
      </c>
      <c r="B16" s="14" t="s">
        <v>34</v>
      </c>
      <c r="C16" s="28">
        <v>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/>
      <c r="N16" s="28"/>
      <c r="O16" s="28"/>
      <c r="P16" s="28">
        <f t="shared" si="2"/>
        <v>0</v>
      </c>
      <c r="Q16" s="17" t="s">
        <v>77</v>
      </c>
      <c r="S16" s="27">
        <f t="shared" si="1"/>
        <v>0</v>
      </c>
      <c r="T16" s="12"/>
    </row>
    <row r="17" spans="1:20" ht="14.25" customHeight="1" x14ac:dyDescent="0.25">
      <c r="A17" s="13">
        <v>12</v>
      </c>
      <c r="B17" s="14" t="s">
        <v>35</v>
      </c>
      <c r="C17" s="28">
        <v>0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/>
      <c r="N17" s="28"/>
      <c r="O17" s="28"/>
      <c r="P17" s="28">
        <f t="shared" si="2"/>
        <v>0</v>
      </c>
      <c r="Q17" s="17" t="s">
        <v>77</v>
      </c>
      <c r="S17" s="27">
        <f t="shared" si="1"/>
        <v>0</v>
      </c>
      <c r="T17" s="12"/>
    </row>
    <row r="18" spans="1:20" ht="14.25" customHeight="1" x14ac:dyDescent="0.25">
      <c r="A18" s="13">
        <v>13</v>
      </c>
      <c r="B18" s="14" t="s">
        <v>36</v>
      </c>
      <c r="C18" s="28">
        <v>0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/>
      <c r="N18" s="28"/>
      <c r="O18" s="28"/>
      <c r="P18" s="28">
        <f t="shared" si="2"/>
        <v>0</v>
      </c>
      <c r="Q18" s="17" t="s">
        <v>77</v>
      </c>
      <c r="S18" s="27">
        <f t="shared" si="1"/>
        <v>0</v>
      </c>
      <c r="T18" s="12"/>
    </row>
    <row r="19" spans="1:20" ht="14.25" customHeight="1" x14ac:dyDescent="0.25">
      <c r="A19" s="13">
        <v>14</v>
      </c>
      <c r="B19" s="14" t="s">
        <v>37</v>
      </c>
      <c r="C19" s="28">
        <v>0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/>
      <c r="N19" s="28"/>
      <c r="O19" s="28"/>
      <c r="P19" s="28">
        <f t="shared" si="2"/>
        <v>0</v>
      </c>
      <c r="Q19" s="17" t="s">
        <v>77</v>
      </c>
      <c r="S19" s="27">
        <f t="shared" si="1"/>
        <v>0</v>
      </c>
      <c r="T19" s="12"/>
    </row>
    <row r="20" spans="1:20" ht="14.25" customHeight="1" x14ac:dyDescent="0.25">
      <c r="A20" s="13">
        <v>15</v>
      </c>
      <c r="B20" s="14" t="s">
        <v>38</v>
      </c>
      <c r="C20" s="28">
        <v>40273</v>
      </c>
      <c r="D20" s="28">
        <v>2599.6</v>
      </c>
      <c r="E20" s="28">
        <v>2750</v>
      </c>
      <c r="F20" s="28">
        <v>4317</v>
      </c>
      <c r="G20" s="28">
        <v>8843</v>
      </c>
      <c r="H20" s="28">
        <v>5163</v>
      </c>
      <c r="I20" s="28">
        <v>4546</v>
      </c>
      <c r="J20" s="28">
        <v>3873</v>
      </c>
      <c r="K20" s="28">
        <v>3169</v>
      </c>
      <c r="L20" s="28">
        <v>2582</v>
      </c>
      <c r="M20" s="28"/>
      <c r="N20" s="28"/>
      <c r="O20" s="28"/>
      <c r="P20" s="28">
        <f t="shared" si="2"/>
        <v>37842.6</v>
      </c>
      <c r="Q20" s="17">
        <f t="shared" ref="Q20:Q28" si="3">P20/C20</f>
        <v>0.93965187594666399</v>
      </c>
      <c r="S20" s="27">
        <f t="shared" si="1"/>
        <v>0</v>
      </c>
      <c r="T20" s="12"/>
    </row>
    <row r="21" spans="1:20" ht="14.25" customHeight="1" x14ac:dyDescent="0.25">
      <c r="A21" s="13">
        <v>16</v>
      </c>
      <c r="B21" s="14" t="s">
        <v>39</v>
      </c>
      <c r="C21" s="28">
        <v>4625</v>
      </c>
      <c r="D21" s="28">
        <v>492</v>
      </c>
      <c r="E21" s="28">
        <v>351</v>
      </c>
      <c r="F21" s="28">
        <v>511</v>
      </c>
      <c r="G21" s="28">
        <v>284</v>
      </c>
      <c r="H21" s="28">
        <v>329</v>
      </c>
      <c r="I21" s="28">
        <v>517</v>
      </c>
      <c r="J21" s="28">
        <v>423</v>
      </c>
      <c r="K21" s="28">
        <v>282</v>
      </c>
      <c r="L21" s="28">
        <v>282</v>
      </c>
      <c r="M21" s="28"/>
      <c r="N21" s="28"/>
      <c r="O21" s="28"/>
      <c r="P21" s="28">
        <f t="shared" si="2"/>
        <v>3471</v>
      </c>
      <c r="Q21" s="17">
        <f t="shared" si="3"/>
        <v>0.75048648648648653</v>
      </c>
      <c r="S21" s="27">
        <f t="shared" si="1"/>
        <v>0</v>
      </c>
      <c r="T21" s="12"/>
    </row>
    <row r="22" spans="1:20" ht="14.25" customHeight="1" x14ac:dyDescent="0.25">
      <c r="A22" s="13">
        <v>17</v>
      </c>
      <c r="B22" s="14" t="s">
        <v>40</v>
      </c>
      <c r="C22" s="28">
        <v>6091</v>
      </c>
      <c r="D22" s="28">
        <v>0</v>
      </c>
      <c r="E22" s="28">
        <v>118</v>
      </c>
      <c r="F22" s="28">
        <v>95</v>
      </c>
      <c r="G22" s="28">
        <v>95</v>
      </c>
      <c r="H22" s="28">
        <v>142</v>
      </c>
      <c r="I22" s="28">
        <v>189</v>
      </c>
      <c r="J22" s="28">
        <v>166</v>
      </c>
      <c r="K22" s="28">
        <v>51</v>
      </c>
      <c r="L22" s="28">
        <v>47</v>
      </c>
      <c r="M22" s="28"/>
      <c r="N22" s="28"/>
      <c r="O22" s="28"/>
      <c r="P22" s="28">
        <f t="shared" si="2"/>
        <v>903</v>
      </c>
      <c r="Q22" s="17">
        <f t="shared" si="3"/>
        <v>0.14825151863405023</v>
      </c>
      <c r="S22" s="27">
        <f t="shared" si="1"/>
        <v>0</v>
      </c>
      <c r="T22" s="12"/>
    </row>
    <row r="23" spans="1:20" ht="14.25" customHeight="1" x14ac:dyDescent="0.25">
      <c r="A23" s="13">
        <v>18</v>
      </c>
      <c r="B23" s="14" t="s">
        <v>41</v>
      </c>
      <c r="C23" s="28">
        <v>4574</v>
      </c>
      <c r="D23" s="28">
        <v>188.7</v>
      </c>
      <c r="E23" s="28">
        <v>802</v>
      </c>
      <c r="F23" s="28">
        <v>728</v>
      </c>
      <c r="G23" s="28">
        <v>260</v>
      </c>
      <c r="H23" s="28">
        <v>212</v>
      </c>
      <c r="I23" s="28">
        <v>543</v>
      </c>
      <c r="J23" s="28">
        <v>401</v>
      </c>
      <c r="K23" s="28">
        <v>307</v>
      </c>
      <c r="L23" s="28">
        <v>0</v>
      </c>
      <c r="M23" s="28"/>
      <c r="N23" s="28"/>
      <c r="O23" s="28"/>
      <c r="P23" s="28">
        <f t="shared" si="2"/>
        <v>3441.7</v>
      </c>
      <c r="Q23" s="17">
        <f t="shared" si="3"/>
        <v>0.75244862264975942</v>
      </c>
      <c r="S23" s="27">
        <f t="shared" si="1"/>
        <v>0</v>
      </c>
      <c r="T23" s="12"/>
    </row>
    <row r="24" spans="1:20" ht="14.25" customHeight="1" x14ac:dyDescent="0.25">
      <c r="A24" s="13">
        <v>19</v>
      </c>
      <c r="B24" s="14" t="s">
        <v>42</v>
      </c>
      <c r="C24" s="28">
        <v>21068</v>
      </c>
      <c r="D24" s="28">
        <v>2311</v>
      </c>
      <c r="E24" s="28">
        <v>2547</v>
      </c>
      <c r="F24" s="28">
        <v>2807</v>
      </c>
      <c r="G24" s="28">
        <v>2007</v>
      </c>
      <c r="H24" s="28">
        <v>2035</v>
      </c>
      <c r="I24" s="28">
        <v>2148</v>
      </c>
      <c r="J24" s="28">
        <v>1840</v>
      </c>
      <c r="K24" s="28">
        <v>1699</v>
      </c>
      <c r="L24" s="28">
        <v>991</v>
      </c>
      <c r="M24" s="28"/>
      <c r="N24" s="28"/>
      <c r="O24" s="28"/>
      <c r="P24" s="28">
        <f t="shared" si="2"/>
        <v>18385</v>
      </c>
      <c r="Q24" s="17">
        <f t="shared" si="3"/>
        <v>0.87265046516043288</v>
      </c>
      <c r="S24" s="27">
        <f t="shared" si="1"/>
        <v>0</v>
      </c>
      <c r="T24" s="12"/>
    </row>
    <row r="25" spans="1:20" ht="14.25" customHeight="1" x14ac:dyDescent="0.25">
      <c r="A25" s="13">
        <v>20</v>
      </c>
      <c r="B25" s="14" t="s">
        <v>43</v>
      </c>
      <c r="C25" s="28">
        <v>27681</v>
      </c>
      <c r="D25" s="28">
        <v>2575</v>
      </c>
      <c r="E25" s="28">
        <v>3047</v>
      </c>
      <c r="F25" s="28">
        <v>2843</v>
      </c>
      <c r="G25" s="28">
        <v>3089</v>
      </c>
      <c r="H25" s="28">
        <v>3638</v>
      </c>
      <c r="I25" s="28">
        <v>3145</v>
      </c>
      <c r="J25" s="28">
        <v>2700</v>
      </c>
      <c r="K25" s="28">
        <v>2183</v>
      </c>
      <c r="L25" s="28">
        <v>1878</v>
      </c>
      <c r="M25" s="28"/>
      <c r="N25" s="28"/>
      <c r="O25" s="28"/>
      <c r="P25" s="28">
        <f t="shared" si="2"/>
        <v>25098</v>
      </c>
      <c r="Q25" s="17">
        <f t="shared" si="3"/>
        <v>0.90668689714966944</v>
      </c>
      <c r="S25" s="27">
        <f t="shared" si="1"/>
        <v>0</v>
      </c>
      <c r="T25" s="12"/>
    </row>
    <row r="26" spans="1:20" ht="14.25" customHeight="1" x14ac:dyDescent="0.25">
      <c r="A26" s="13">
        <v>21</v>
      </c>
      <c r="B26" s="14" t="s">
        <v>44</v>
      </c>
      <c r="C26" s="28">
        <v>15657</v>
      </c>
      <c r="D26" s="28">
        <v>916.5</v>
      </c>
      <c r="E26" s="28">
        <v>2304</v>
      </c>
      <c r="F26" s="28">
        <v>1393</v>
      </c>
      <c r="G26" s="28">
        <v>1755</v>
      </c>
      <c r="H26" s="28">
        <v>2332</v>
      </c>
      <c r="I26" s="28">
        <v>1744</v>
      </c>
      <c r="J26" s="28">
        <v>2089</v>
      </c>
      <c r="K26" s="28">
        <v>1103</v>
      </c>
      <c r="L26" s="28">
        <v>963</v>
      </c>
      <c r="M26" s="28"/>
      <c r="N26" s="28"/>
      <c r="O26" s="28"/>
      <c r="P26" s="28">
        <f t="shared" si="2"/>
        <v>14599.5</v>
      </c>
      <c r="Q26" s="17">
        <f t="shared" si="3"/>
        <v>0.93245832534968387</v>
      </c>
      <c r="S26" s="27">
        <f t="shared" si="1"/>
        <v>0</v>
      </c>
      <c r="T26" s="12"/>
    </row>
    <row r="27" spans="1:20" ht="14.25" customHeight="1" x14ac:dyDescent="0.25">
      <c r="A27" s="13">
        <v>22</v>
      </c>
      <c r="B27" s="14" t="s">
        <v>45</v>
      </c>
      <c r="C27" s="28">
        <v>3085</v>
      </c>
      <c r="D27" s="28">
        <v>44</v>
      </c>
      <c r="E27" s="28">
        <v>71</v>
      </c>
      <c r="F27" s="28">
        <v>227</v>
      </c>
      <c r="G27" s="28">
        <v>312</v>
      </c>
      <c r="H27" s="28">
        <v>375</v>
      </c>
      <c r="I27" s="28">
        <v>422</v>
      </c>
      <c r="J27" s="28">
        <v>329</v>
      </c>
      <c r="K27" s="28">
        <v>352</v>
      </c>
      <c r="L27" s="28">
        <v>188</v>
      </c>
      <c r="M27" s="28"/>
      <c r="N27" s="28"/>
      <c r="O27" s="28"/>
      <c r="P27" s="28">
        <f t="shared" si="2"/>
        <v>2320</v>
      </c>
      <c r="Q27" s="17">
        <f t="shared" si="3"/>
        <v>0.75202593192868716</v>
      </c>
      <c r="S27" s="27">
        <f t="shared" si="1"/>
        <v>0</v>
      </c>
      <c r="T27" s="12"/>
    </row>
    <row r="28" spans="1:20" ht="14.25" customHeight="1" x14ac:dyDescent="0.25">
      <c r="A28" s="13">
        <v>23</v>
      </c>
      <c r="B28" s="14" t="s">
        <v>46</v>
      </c>
      <c r="C28" s="28">
        <v>52748</v>
      </c>
      <c r="D28" s="28">
        <v>1610</v>
      </c>
      <c r="E28" s="28">
        <v>2585</v>
      </c>
      <c r="F28" s="28">
        <v>2468</v>
      </c>
      <c r="G28" s="28">
        <v>4085</v>
      </c>
      <c r="H28" s="28">
        <v>2019</v>
      </c>
      <c r="I28" s="28">
        <v>5896</v>
      </c>
      <c r="J28" s="28">
        <v>4882</v>
      </c>
      <c r="K28" s="28">
        <v>4037</v>
      </c>
      <c r="L28" s="28">
        <v>3216</v>
      </c>
      <c r="M28" s="28"/>
      <c r="N28" s="28"/>
      <c r="O28" s="28"/>
      <c r="P28" s="28">
        <f t="shared" si="2"/>
        <v>30798</v>
      </c>
      <c r="Q28" s="17">
        <f t="shared" si="3"/>
        <v>0.5838704785015546</v>
      </c>
      <c r="S28" s="27">
        <f t="shared" si="1"/>
        <v>0</v>
      </c>
      <c r="T28" s="12"/>
    </row>
    <row r="29" spans="1:20" ht="14.25" customHeight="1" x14ac:dyDescent="0.25">
      <c r="A29" s="13">
        <v>24</v>
      </c>
      <c r="B29" s="14" t="s">
        <v>47</v>
      </c>
      <c r="C29" s="28">
        <v>0</v>
      </c>
      <c r="D29" s="28">
        <v>0</v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v>0</v>
      </c>
      <c r="L29" s="28">
        <v>0</v>
      </c>
      <c r="M29" s="28"/>
      <c r="N29" s="28"/>
      <c r="O29" s="28"/>
      <c r="P29" s="28">
        <f t="shared" si="2"/>
        <v>0</v>
      </c>
      <c r="Q29" s="17" t="s">
        <v>77</v>
      </c>
      <c r="S29" s="27">
        <f t="shared" si="1"/>
        <v>0</v>
      </c>
      <c r="T29" s="12"/>
    </row>
    <row r="30" spans="1:20" ht="14.25" customHeight="1" x14ac:dyDescent="0.25">
      <c r="A30" s="13">
        <v>25</v>
      </c>
      <c r="B30" s="14" t="s">
        <v>48</v>
      </c>
      <c r="C30" s="28">
        <v>0</v>
      </c>
      <c r="D30" s="28">
        <v>0</v>
      </c>
      <c r="E30" s="28">
        <v>0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8">
        <v>0</v>
      </c>
      <c r="L30" s="28">
        <v>0</v>
      </c>
      <c r="M30" s="28"/>
      <c r="N30" s="28"/>
      <c r="O30" s="28"/>
      <c r="P30" s="28">
        <f t="shared" si="2"/>
        <v>0</v>
      </c>
      <c r="Q30" s="17" t="s">
        <v>77</v>
      </c>
      <c r="S30" s="27">
        <f t="shared" si="1"/>
        <v>0</v>
      </c>
      <c r="T30" s="12"/>
    </row>
    <row r="31" spans="1:20" ht="14.25" customHeight="1" x14ac:dyDescent="0.25">
      <c r="A31" s="13">
        <v>26</v>
      </c>
      <c r="B31" s="14" t="s">
        <v>49</v>
      </c>
      <c r="C31" s="28">
        <v>0</v>
      </c>
      <c r="D31" s="28">
        <v>0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/>
      <c r="N31" s="28"/>
      <c r="O31" s="28"/>
      <c r="P31" s="28">
        <f t="shared" si="2"/>
        <v>0</v>
      </c>
      <c r="Q31" s="17" t="s">
        <v>77</v>
      </c>
      <c r="S31" s="27">
        <f t="shared" si="1"/>
        <v>0</v>
      </c>
      <c r="T31" s="12"/>
    </row>
    <row r="32" spans="1:20" ht="14.25" customHeight="1" x14ac:dyDescent="0.25">
      <c r="A32" s="13">
        <v>27</v>
      </c>
      <c r="B32" s="14" t="s">
        <v>50</v>
      </c>
      <c r="C32" s="28">
        <v>1098</v>
      </c>
      <c r="D32" s="28">
        <v>0</v>
      </c>
      <c r="E32" s="28">
        <v>71</v>
      </c>
      <c r="F32" s="28">
        <v>46</v>
      </c>
      <c r="G32" s="28">
        <v>142</v>
      </c>
      <c r="H32" s="28">
        <v>141</v>
      </c>
      <c r="I32" s="28">
        <v>172</v>
      </c>
      <c r="J32" s="28">
        <v>94</v>
      </c>
      <c r="K32" s="28">
        <v>94</v>
      </c>
      <c r="L32" s="28">
        <v>117</v>
      </c>
      <c r="M32" s="28"/>
      <c r="N32" s="28"/>
      <c r="O32" s="28"/>
      <c r="P32" s="28">
        <f t="shared" si="2"/>
        <v>877</v>
      </c>
      <c r="Q32" s="17">
        <f t="shared" ref="Q32:Q35" si="4">P32/C32</f>
        <v>0.79872495446265934</v>
      </c>
      <c r="S32" s="27">
        <f t="shared" si="1"/>
        <v>0</v>
      </c>
      <c r="T32" s="12"/>
    </row>
    <row r="33" spans="1:20" ht="14.25" customHeight="1" x14ac:dyDescent="0.25">
      <c r="A33" s="13">
        <v>28</v>
      </c>
      <c r="B33" s="14" t="s">
        <v>51</v>
      </c>
      <c r="C33" s="28">
        <v>1568</v>
      </c>
      <c r="D33" s="28">
        <v>0</v>
      </c>
      <c r="E33" s="28">
        <v>470</v>
      </c>
      <c r="F33" s="28">
        <v>0</v>
      </c>
      <c r="G33" s="28">
        <v>284</v>
      </c>
      <c r="H33" s="28">
        <v>235</v>
      </c>
      <c r="I33" s="28">
        <v>492</v>
      </c>
      <c r="J33" s="28">
        <v>47</v>
      </c>
      <c r="K33" s="28">
        <v>71</v>
      </c>
      <c r="L33" s="28">
        <v>0</v>
      </c>
      <c r="M33" s="28"/>
      <c r="N33" s="28"/>
      <c r="O33" s="28"/>
      <c r="P33" s="28">
        <f t="shared" si="2"/>
        <v>1599</v>
      </c>
      <c r="Q33" s="17">
        <f t="shared" si="4"/>
        <v>1.0197704081632653</v>
      </c>
      <c r="S33" s="27">
        <f t="shared" si="1"/>
        <v>0</v>
      </c>
      <c r="T33" s="12"/>
    </row>
    <row r="34" spans="1:20" ht="14.25" customHeight="1" x14ac:dyDescent="0.25">
      <c r="A34" s="13">
        <v>29</v>
      </c>
      <c r="B34" s="14" t="s">
        <v>52</v>
      </c>
      <c r="C34" s="28">
        <v>496</v>
      </c>
      <c r="D34" s="28">
        <v>0</v>
      </c>
      <c r="E34" s="28">
        <v>51</v>
      </c>
      <c r="F34" s="28">
        <v>45</v>
      </c>
      <c r="G34" s="28">
        <v>57</v>
      </c>
      <c r="H34" s="28">
        <v>0</v>
      </c>
      <c r="I34" s="28">
        <v>25</v>
      </c>
      <c r="J34" s="28">
        <v>0</v>
      </c>
      <c r="K34" s="28">
        <v>0</v>
      </c>
      <c r="L34" s="28">
        <v>24</v>
      </c>
      <c r="M34" s="28"/>
      <c r="N34" s="28"/>
      <c r="O34" s="28"/>
      <c r="P34" s="28">
        <f t="shared" si="2"/>
        <v>202</v>
      </c>
      <c r="Q34" s="17">
        <f t="shared" si="4"/>
        <v>0.40725806451612906</v>
      </c>
      <c r="S34" s="27">
        <f t="shared" si="1"/>
        <v>0</v>
      </c>
      <c r="T34" s="12"/>
    </row>
    <row r="35" spans="1:20" ht="14.25" customHeight="1" x14ac:dyDescent="0.25">
      <c r="A35" s="13">
        <v>30</v>
      </c>
      <c r="B35" s="14" t="s">
        <v>53</v>
      </c>
      <c r="C35" s="28">
        <v>2222</v>
      </c>
      <c r="D35" s="28">
        <v>116.5</v>
      </c>
      <c r="E35" s="28">
        <v>0</v>
      </c>
      <c r="F35" s="28">
        <v>0</v>
      </c>
      <c r="G35" s="28">
        <v>0</v>
      </c>
      <c r="H35" s="28">
        <v>282</v>
      </c>
      <c r="I35" s="28">
        <v>246</v>
      </c>
      <c r="J35" s="28">
        <v>211</v>
      </c>
      <c r="K35" s="28">
        <v>0</v>
      </c>
      <c r="L35" s="28">
        <v>141</v>
      </c>
      <c r="M35" s="28"/>
      <c r="N35" s="28"/>
      <c r="O35" s="28"/>
      <c r="P35" s="28">
        <f t="shared" si="2"/>
        <v>996.5</v>
      </c>
      <c r="Q35" s="17">
        <f t="shared" si="4"/>
        <v>0.44846984698469849</v>
      </c>
      <c r="S35" s="27">
        <f t="shared" si="1"/>
        <v>0</v>
      </c>
      <c r="T35" s="12"/>
    </row>
    <row r="36" spans="1:20" ht="14.25" customHeight="1" x14ac:dyDescent="0.25">
      <c r="A36" s="13">
        <v>31</v>
      </c>
      <c r="B36" s="14" t="s">
        <v>54</v>
      </c>
      <c r="C36" s="28">
        <v>0</v>
      </c>
      <c r="D36" s="28">
        <v>0</v>
      </c>
      <c r="E36" s="28">
        <v>0</v>
      </c>
      <c r="F36" s="28">
        <v>0</v>
      </c>
      <c r="G36" s="28">
        <v>0</v>
      </c>
      <c r="H36" s="28">
        <v>0</v>
      </c>
      <c r="I36" s="28">
        <v>0</v>
      </c>
      <c r="J36" s="28">
        <v>0</v>
      </c>
      <c r="K36" s="28">
        <v>46</v>
      </c>
      <c r="L36" s="28">
        <v>0</v>
      </c>
      <c r="M36" s="28"/>
      <c r="N36" s="28"/>
      <c r="O36" s="28"/>
      <c r="P36" s="28">
        <f t="shared" si="2"/>
        <v>46</v>
      </c>
      <c r="Q36" s="17" t="s">
        <v>77</v>
      </c>
      <c r="S36" s="27">
        <f t="shared" si="1"/>
        <v>0</v>
      </c>
      <c r="T36" s="12"/>
    </row>
    <row r="37" spans="1:20" ht="14.25" customHeight="1" x14ac:dyDescent="0.25">
      <c r="A37" s="13">
        <v>32</v>
      </c>
      <c r="B37" s="14" t="s">
        <v>55</v>
      </c>
      <c r="C37" s="28">
        <v>392</v>
      </c>
      <c r="D37" s="28">
        <v>0</v>
      </c>
      <c r="E37" s="28">
        <v>23</v>
      </c>
      <c r="F37" s="28">
        <v>57</v>
      </c>
      <c r="G37" s="28">
        <v>29</v>
      </c>
      <c r="H37" s="28">
        <v>0</v>
      </c>
      <c r="I37" s="28">
        <v>0</v>
      </c>
      <c r="J37" s="28">
        <v>0</v>
      </c>
      <c r="K37" s="28">
        <v>0</v>
      </c>
      <c r="L37" s="28">
        <v>24</v>
      </c>
      <c r="M37" s="28"/>
      <c r="N37" s="28"/>
      <c r="O37" s="28"/>
      <c r="P37" s="28">
        <f t="shared" si="2"/>
        <v>133</v>
      </c>
      <c r="Q37" s="17">
        <f>P37/C37</f>
        <v>0.3392857142857143</v>
      </c>
      <c r="S37" s="27">
        <f t="shared" si="1"/>
        <v>0</v>
      </c>
      <c r="T37" s="12"/>
    </row>
    <row r="38" spans="1:20" ht="14.25" customHeight="1" x14ac:dyDescent="0.25">
      <c r="A38" s="13">
        <v>33</v>
      </c>
      <c r="B38" s="14" t="s">
        <v>56</v>
      </c>
      <c r="C38" s="28">
        <v>0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/>
      <c r="N38" s="28"/>
      <c r="O38" s="28"/>
      <c r="P38" s="28">
        <f t="shared" si="2"/>
        <v>0</v>
      </c>
      <c r="Q38" s="17" t="s">
        <v>77</v>
      </c>
      <c r="S38" s="27">
        <f t="shared" si="1"/>
        <v>0</v>
      </c>
      <c r="T38" s="12"/>
    </row>
    <row r="39" spans="1:20" ht="14.25" customHeight="1" x14ac:dyDescent="0.25">
      <c r="A39" s="13">
        <v>34</v>
      </c>
      <c r="B39" s="14" t="s">
        <v>57</v>
      </c>
      <c r="C39" s="28">
        <v>2248</v>
      </c>
      <c r="D39" s="28">
        <v>70.5</v>
      </c>
      <c r="E39" s="28">
        <v>141</v>
      </c>
      <c r="F39" s="28">
        <v>353</v>
      </c>
      <c r="G39" s="28">
        <v>212</v>
      </c>
      <c r="H39" s="28">
        <v>282</v>
      </c>
      <c r="I39" s="28">
        <v>230</v>
      </c>
      <c r="J39" s="28">
        <v>212</v>
      </c>
      <c r="K39" s="28">
        <v>0</v>
      </c>
      <c r="L39" s="28">
        <v>805</v>
      </c>
      <c r="M39" s="28"/>
      <c r="N39" s="28"/>
      <c r="O39" s="28"/>
      <c r="P39" s="28">
        <f t="shared" si="2"/>
        <v>2305.5</v>
      </c>
      <c r="Q39" s="17">
        <f>P39/C39</f>
        <v>1.0255782918149465</v>
      </c>
      <c r="S39" s="27">
        <f t="shared" si="1"/>
        <v>0</v>
      </c>
      <c r="T39" s="12"/>
    </row>
    <row r="40" spans="1:20" ht="14.25" customHeight="1" x14ac:dyDescent="0.25">
      <c r="A40" s="13">
        <v>35</v>
      </c>
      <c r="B40" s="14" t="s">
        <v>58</v>
      </c>
      <c r="C40" s="28">
        <v>0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/>
      <c r="N40" s="28"/>
      <c r="O40" s="28"/>
      <c r="P40" s="28">
        <f t="shared" si="2"/>
        <v>0</v>
      </c>
      <c r="Q40" s="17" t="s">
        <v>77</v>
      </c>
      <c r="S40" s="27">
        <f t="shared" si="1"/>
        <v>0</v>
      </c>
      <c r="T40" s="12"/>
    </row>
    <row r="41" spans="1:20" ht="14.25" customHeight="1" x14ac:dyDescent="0.25">
      <c r="A41" s="13">
        <v>36</v>
      </c>
      <c r="B41" s="14" t="s">
        <v>59</v>
      </c>
      <c r="C41" s="28">
        <v>575</v>
      </c>
      <c r="D41" s="28">
        <v>0</v>
      </c>
      <c r="E41" s="28">
        <v>0</v>
      </c>
      <c r="F41" s="28">
        <v>0</v>
      </c>
      <c r="G41" s="28">
        <v>0</v>
      </c>
      <c r="H41" s="28">
        <v>0</v>
      </c>
      <c r="I41" s="28">
        <v>0</v>
      </c>
      <c r="J41" s="28">
        <v>0</v>
      </c>
      <c r="K41" s="28">
        <v>0</v>
      </c>
      <c r="L41" s="28">
        <v>0</v>
      </c>
      <c r="M41" s="28"/>
      <c r="N41" s="28"/>
      <c r="O41" s="28"/>
      <c r="P41" s="28">
        <f t="shared" si="2"/>
        <v>0</v>
      </c>
      <c r="Q41" s="17">
        <f>P41/C41</f>
        <v>0</v>
      </c>
      <c r="S41" s="27">
        <f t="shared" si="1"/>
        <v>0</v>
      </c>
      <c r="T41" s="12"/>
    </row>
    <row r="42" spans="1:20" ht="14.25" customHeight="1" x14ac:dyDescent="0.25">
      <c r="A42" s="13">
        <v>37</v>
      </c>
      <c r="B42" s="14" t="s">
        <v>60</v>
      </c>
      <c r="C42" s="28">
        <v>0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/>
      <c r="N42" s="28"/>
      <c r="O42" s="28"/>
      <c r="P42" s="28">
        <f t="shared" si="2"/>
        <v>0</v>
      </c>
      <c r="Q42" s="17" t="s">
        <v>77</v>
      </c>
      <c r="S42" s="27">
        <f t="shared" si="1"/>
        <v>0</v>
      </c>
      <c r="T42" s="12"/>
    </row>
    <row r="43" spans="1:20" ht="14.25" customHeight="1" x14ac:dyDescent="0.25">
      <c r="A43" s="13">
        <v>38</v>
      </c>
      <c r="B43" s="14" t="s">
        <v>61</v>
      </c>
      <c r="C43" s="28">
        <v>0</v>
      </c>
      <c r="D43" s="28">
        <v>0</v>
      </c>
      <c r="E43" s="28">
        <v>0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28">
        <v>0</v>
      </c>
      <c r="L43" s="28">
        <v>0</v>
      </c>
      <c r="M43" s="28"/>
      <c r="N43" s="28"/>
      <c r="O43" s="28"/>
      <c r="P43" s="28">
        <f t="shared" si="2"/>
        <v>0</v>
      </c>
      <c r="Q43" s="17" t="s">
        <v>77</v>
      </c>
      <c r="S43" s="27">
        <f t="shared" si="1"/>
        <v>0</v>
      </c>
      <c r="T43" s="12"/>
    </row>
    <row r="44" spans="1:20" ht="14.25" customHeight="1" x14ac:dyDescent="0.25">
      <c r="A44" s="13">
        <v>39</v>
      </c>
      <c r="B44" s="14" t="s">
        <v>62</v>
      </c>
      <c r="C44" s="28">
        <v>0</v>
      </c>
      <c r="D44" s="28">
        <v>0</v>
      </c>
      <c r="E44" s="28">
        <v>0</v>
      </c>
      <c r="F44" s="28">
        <v>0</v>
      </c>
      <c r="G44" s="28">
        <v>0</v>
      </c>
      <c r="H44" s="28">
        <v>0</v>
      </c>
      <c r="I44" s="28">
        <v>0</v>
      </c>
      <c r="J44" s="28">
        <v>0</v>
      </c>
      <c r="K44" s="28">
        <v>0</v>
      </c>
      <c r="L44" s="28">
        <v>0</v>
      </c>
      <c r="M44" s="28"/>
      <c r="N44" s="28"/>
      <c r="O44" s="28"/>
      <c r="P44" s="28">
        <f t="shared" si="2"/>
        <v>0</v>
      </c>
      <c r="Q44" s="17" t="s">
        <v>77</v>
      </c>
      <c r="S44" s="27">
        <f t="shared" si="1"/>
        <v>0</v>
      </c>
      <c r="T44" s="12"/>
    </row>
    <row r="45" spans="1:20" ht="14.25" customHeight="1" x14ac:dyDescent="0.25">
      <c r="A45" s="13">
        <v>40</v>
      </c>
      <c r="B45" s="14" t="s">
        <v>63</v>
      </c>
      <c r="C45" s="28">
        <v>0</v>
      </c>
      <c r="D45" s="28">
        <v>0</v>
      </c>
      <c r="E45" s="28">
        <v>0</v>
      </c>
      <c r="F45" s="28">
        <v>0</v>
      </c>
      <c r="G45" s="28">
        <v>0</v>
      </c>
      <c r="H45" s="28">
        <v>0</v>
      </c>
      <c r="I45" s="28">
        <v>0</v>
      </c>
      <c r="J45" s="28">
        <v>0</v>
      </c>
      <c r="K45" s="28">
        <v>0</v>
      </c>
      <c r="L45" s="28">
        <v>0</v>
      </c>
      <c r="M45" s="28"/>
      <c r="N45" s="28"/>
      <c r="O45" s="28"/>
      <c r="P45" s="28">
        <f t="shared" si="2"/>
        <v>0</v>
      </c>
      <c r="Q45" s="17" t="s">
        <v>77</v>
      </c>
      <c r="S45" s="27">
        <f t="shared" si="1"/>
        <v>0</v>
      </c>
      <c r="T45" s="12"/>
    </row>
    <row r="46" spans="1:20" ht="14.25" customHeight="1" x14ac:dyDescent="0.25">
      <c r="A46" s="13">
        <v>41</v>
      </c>
      <c r="B46" s="14" t="s">
        <v>64</v>
      </c>
      <c r="C46" s="28">
        <v>0</v>
      </c>
      <c r="D46" s="28">
        <v>0</v>
      </c>
      <c r="E46" s="28">
        <v>0</v>
      </c>
      <c r="F46" s="28">
        <v>0</v>
      </c>
      <c r="G46" s="28">
        <v>0</v>
      </c>
      <c r="H46" s="28">
        <v>0</v>
      </c>
      <c r="I46" s="28">
        <v>0</v>
      </c>
      <c r="J46" s="28">
        <v>0</v>
      </c>
      <c r="K46" s="28">
        <v>0</v>
      </c>
      <c r="L46" s="28">
        <v>0</v>
      </c>
      <c r="M46" s="28"/>
      <c r="N46" s="28"/>
      <c r="O46" s="28"/>
      <c r="P46" s="28">
        <f t="shared" si="2"/>
        <v>0</v>
      </c>
      <c r="Q46" s="17" t="s">
        <v>77</v>
      </c>
      <c r="S46" s="27">
        <f t="shared" si="1"/>
        <v>0</v>
      </c>
      <c r="T46" s="12"/>
    </row>
    <row r="47" spans="1:20" ht="14.25" customHeight="1" x14ac:dyDescent="0.25">
      <c r="A47" s="18">
        <v>42</v>
      </c>
      <c r="B47" s="19" t="s">
        <v>65</v>
      </c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29">
        <v>0</v>
      </c>
      <c r="I47" s="29">
        <v>0</v>
      </c>
      <c r="J47" s="29">
        <v>0</v>
      </c>
      <c r="K47" s="29">
        <v>0</v>
      </c>
      <c r="L47" s="29">
        <v>0</v>
      </c>
      <c r="M47" s="29"/>
      <c r="N47" s="29"/>
      <c r="O47" s="29"/>
      <c r="P47" s="28">
        <f t="shared" si="2"/>
        <v>0</v>
      </c>
      <c r="Q47" s="22" t="s">
        <v>77</v>
      </c>
      <c r="S47" s="27">
        <f t="shared" si="1"/>
        <v>0</v>
      </c>
      <c r="T47" s="12"/>
    </row>
    <row r="48" spans="1:20" ht="14.25" customHeight="1" x14ac:dyDescent="0.25">
      <c r="A48" s="88" t="s">
        <v>66</v>
      </c>
      <c r="B48" s="89"/>
      <c r="C48" s="30">
        <f t="shared" ref="C48:P48" si="5">SUM(C6:C47)</f>
        <v>190727</v>
      </c>
      <c r="D48" s="30">
        <f t="shared" si="5"/>
        <v>11462.3</v>
      </c>
      <c r="E48" s="30">
        <f t="shared" si="5"/>
        <v>20309</v>
      </c>
      <c r="F48" s="30">
        <f t="shared" si="5"/>
        <v>22426</v>
      </c>
      <c r="G48" s="30">
        <f t="shared" si="5"/>
        <v>22078</v>
      </c>
      <c r="H48" s="30">
        <f t="shared" si="5"/>
        <v>17655</v>
      </c>
      <c r="I48" s="30">
        <f t="shared" si="5"/>
        <v>21077</v>
      </c>
      <c r="J48" s="30">
        <f t="shared" si="5"/>
        <v>17502</v>
      </c>
      <c r="K48" s="30">
        <f t="shared" si="5"/>
        <v>13582</v>
      </c>
      <c r="L48" s="30">
        <f t="shared" si="5"/>
        <v>11516</v>
      </c>
      <c r="M48" s="30">
        <f t="shared" si="5"/>
        <v>0</v>
      </c>
      <c r="N48" s="30">
        <f t="shared" si="5"/>
        <v>0</v>
      </c>
      <c r="O48" s="30">
        <f t="shared" si="5"/>
        <v>0</v>
      </c>
      <c r="P48" s="30">
        <f t="shared" si="5"/>
        <v>157607.29999999999</v>
      </c>
      <c r="Q48" s="25">
        <f>P48/C48</f>
        <v>0.82635022833683736</v>
      </c>
      <c r="T48" s="12"/>
    </row>
    <row r="49" spans="5:12" ht="14.25" customHeight="1" x14ac:dyDescent="0.25"/>
    <row r="50" spans="5:12" ht="14.25" customHeight="1" x14ac:dyDescent="0.25">
      <c r="E50" s="50"/>
    </row>
    <row r="51" spans="5:12" ht="14.25" customHeight="1" x14ac:dyDescent="0.25">
      <c r="E51" s="27"/>
      <c r="L51" s="31"/>
    </row>
    <row r="52" spans="5:12" ht="14.25" customHeight="1" x14ac:dyDescent="0.25"/>
    <row r="53" spans="5:12" ht="14.25" customHeight="1" x14ac:dyDescent="0.25"/>
    <row r="54" spans="5:12" ht="14.25" customHeight="1" x14ac:dyDescent="0.25"/>
    <row r="55" spans="5:12" ht="14.25" customHeight="1" x14ac:dyDescent="0.25"/>
    <row r="56" spans="5:12" ht="14.25" customHeight="1" x14ac:dyDescent="0.25"/>
    <row r="57" spans="5:12" ht="14.25" customHeight="1" x14ac:dyDescent="0.25"/>
    <row r="58" spans="5:12" ht="14.25" customHeight="1" x14ac:dyDescent="0.25"/>
    <row r="59" spans="5:12" ht="14.25" customHeight="1" x14ac:dyDescent="0.25"/>
    <row r="60" spans="5:12" ht="14.25" customHeight="1" x14ac:dyDescent="0.25"/>
    <row r="61" spans="5:12" ht="14.25" customHeight="1" x14ac:dyDescent="0.25"/>
    <row r="62" spans="5:12" ht="14.25" customHeight="1" x14ac:dyDescent="0.25"/>
    <row r="63" spans="5:12" ht="14.25" customHeight="1" x14ac:dyDescent="0.25"/>
    <row r="64" spans="5:12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3">
    <mergeCell ref="A1:Q1"/>
    <mergeCell ref="A2:Q2"/>
    <mergeCell ref="A4:A5"/>
    <mergeCell ref="B4:B5"/>
    <mergeCell ref="C4:C5"/>
    <mergeCell ref="D4:O4"/>
    <mergeCell ref="P4:P5"/>
    <mergeCell ref="A48:B48"/>
    <mergeCell ref="U6:U8"/>
    <mergeCell ref="U9:U10"/>
    <mergeCell ref="V9:V10"/>
    <mergeCell ref="W9:W10"/>
    <mergeCell ref="X9:X10"/>
    <mergeCell ref="Y9:Y10"/>
    <mergeCell ref="Z9:Z10"/>
    <mergeCell ref="AA9:AA10"/>
    <mergeCell ref="Q4:Q5"/>
    <mergeCell ref="V6:V8"/>
    <mergeCell ref="W6:W8"/>
    <mergeCell ref="X6:X8"/>
    <mergeCell ref="Y6:Y8"/>
    <mergeCell ref="Z6:Z8"/>
    <mergeCell ref="AA6:AA8"/>
  </mergeCells>
  <printOptions horizontalCentered="1" verticalCentered="1"/>
  <pageMargins left="0.70866141732283472" right="0.70866141732283472" top="0.74803149606299213" bottom="0.74803149606299213" header="0" footer="0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pageSetUpPr fitToPage="1"/>
  </sheetPr>
  <dimension ref="A1:AA1000"/>
  <sheetViews>
    <sheetView workbookViewId="0">
      <selection activeCell="AA16" sqref="AA16"/>
    </sheetView>
  </sheetViews>
  <sheetFormatPr defaultColWidth="14.42578125" defaultRowHeight="15" customHeight="1" x14ac:dyDescent="0.25"/>
  <cols>
    <col min="1" max="1" width="4.140625" customWidth="1"/>
    <col min="2" max="3" width="15.85546875" customWidth="1"/>
    <col min="4" max="4" width="16.7109375" customWidth="1"/>
    <col min="5" max="5" width="13.42578125" customWidth="1"/>
    <col min="6" max="6" width="15.28515625" customWidth="1"/>
    <col min="7" max="15" width="12.85546875" customWidth="1"/>
    <col min="16" max="16" width="11.5703125" customWidth="1"/>
    <col min="17" max="17" width="12.28515625" customWidth="1"/>
    <col min="18" max="20" width="8.7109375" customWidth="1"/>
    <col min="21" max="27" width="22.42578125" customWidth="1"/>
  </cols>
  <sheetData>
    <row r="1" spans="1:27" ht="14.25" customHeight="1" x14ac:dyDescent="0.25">
      <c r="A1" s="92" t="s">
        <v>78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</row>
    <row r="2" spans="1:27" ht="14.25" customHeight="1" x14ac:dyDescent="0.25">
      <c r="A2" s="92" t="s">
        <v>2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</row>
    <row r="3" spans="1:27" ht="14.2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27" ht="14.25" customHeight="1" x14ac:dyDescent="0.25">
      <c r="A4" s="85" t="s">
        <v>3</v>
      </c>
      <c r="B4" s="85" t="s">
        <v>4</v>
      </c>
      <c r="C4" s="94" t="s">
        <v>76</v>
      </c>
      <c r="D4" s="95" t="s">
        <v>6</v>
      </c>
      <c r="E4" s="96"/>
      <c r="F4" s="96"/>
      <c r="G4" s="96"/>
      <c r="H4" s="96"/>
      <c r="I4" s="96"/>
      <c r="J4" s="96"/>
      <c r="K4" s="96"/>
      <c r="L4" s="96"/>
      <c r="M4" s="96"/>
      <c r="N4" s="96"/>
      <c r="O4" s="89"/>
      <c r="P4" s="94" t="s">
        <v>7</v>
      </c>
      <c r="Q4" s="85" t="s">
        <v>8</v>
      </c>
    </row>
    <row r="5" spans="1:27" ht="34.5" customHeight="1" x14ac:dyDescent="0.25">
      <c r="A5" s="83"/>
      <c r="B5" s="83"/>
      <c r="C5" s="83"/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0</v>
      </c>
      <c r="M5" s="3" t="s">
        <v>17</v>
      </c>
      <c r="N5" s="3" t="s">
        <v>18</v>
      </c>
      <c r="O5" s="3" t="s">
        <v>19</v>
      </c>
      <c r="P5" s="83"/>
      <c r="Q5" s="83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4.25" customHeight="1" x14ac:dyDescent="0.25">
      <c r="A6" s="6">
        <v>1</v>
      </c>
      <c r="B6" s="7" t="s">
        <v>20</v>
      </c>
      <c r="C6" s="26">
        <v>72</v>
      </c>
      <c r="D6" s="26">
        <v>0</v>
      </c>
      <c r="E6" s="26">
        <v>0</v>
      </c>
      <c r="F6" s="51">
        <v>5</v>
      </c>
      <c r="G6" s="26">
        <v>0</v>
      </c>
      <c r="H6" s="26">
        <v>0</v>
      </c>
      <c r="I6" s="26">
        <v>25</v>
      </c>
      <c r="J6" s="26">
        <v>0</v>
      </c>
      <c r="K6" s="26">
        <v>0</v>
      </c>
      <c r="L6" s="26">
        <v>15</v>
      </c>
      <c r="M6" s="28"/>
      <c r="N6" s="44"/>
      <c r="O6" s="44"/>
      <c r="P6" s="26">
        <f t="shared" ref="P6:P47" si="0">SUM(D6:O6)</f>
        <v>45</v>
      </c>
      <c r="Q6" s="38">
        <f t="shared" ref="Q6:Q39" si="1">P6/C6</f>
        <v>0.625</v>
      </c>
      <c r="S6" s="27"/>
      <c r="T6" s="12"/>
    </row>
    <row r="7" spans="1:27" ht="14.25" customHeight="1" x14ac:dyDescent="0.25">
      <c r="A7" s="13">
        <v>2</v>
      </c>
      <c r="B7" s="14" t="s">
        <v>25</v>
      </c>
      <c r="C7" s="28">
        <v>73</v>
      </c>
      <c r="D7" s="28">
        <v>0</v>
      </c>
      <c r="E7" s="28">
        <v>0</v>
      </c>
      <c r="F7" s="52">
        <v>7</v>
      </c>
      <c r="G7" s="28">
        <v>0</v>
      </c>
      <c r="H7" s="28">
        <v>0</v>
      </c>
      <c r="I7" s="28">
        <v>31</v>
      </c>
      <c r="J7" s="28">
        <v>0</v>
      </c>
      <c r="K7" s="28">
        <v>0</v>
      </c>
      <c r="L7" s="28">
        <v>19</v>
      </c>
      <c r="M7" s="28"/>
      <c r="N7" s="28"/>
      <c r="O7" s="28"/>
      <c r="P7" s="28">
        <f t="shared" si="0"/>
        <v>57</v>
      </c>
      <c r="Q7" s="40">
        <f t="shared" si="1"/>
        <v>0.78082191780821919</v>
      </c>
      <c r="S7" s="27"/>
      <c r="T7" s="12"/>
      <c r="U7" s="98"/>
      <c r="V7" s="97"/>
      <c r="W7" s="97"/>
      <c r="X7" s="97"/>
      <c r="Y7" s="97"/>
      <c r="Z7" s="97"/>
      <c r="AA7" s="97"/>
    </row>
    <row r="8" spans="1:27" ht="14.25" customHeight="1" x14ac:dyDescent="0.25">
      <c r="A8" s="13">
        <v>3</v>
      </c>
      <c r="B8" s="14" t="s">
        <v>26</v>
      </c>
      <c r="C8" s="28">
        <v>21</v>
      </c>
      <c r="D8" s="28">
        <v>0</v>
      </c>
      <c r="E8" s="28">
        <v>0</v>
      </c>
      <c r="F8" s="52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/>
      <c r="N8" s="28"/>
      <c r="O8" s="28"/>
      <c r="P8" s="28">
        <f t="shared" si="0"/>
        <v>0</v>
      </c>
      <c r="Q8" s="40">
        <f t="shared" si="1"/>
        <v>0</v>
      </c>
      <c r="S8" s="27"/>
      <c r="T8" s="12"/>
      <c r="U8" s="87"/>
      <c r="V8" s="87"/>
      <c r="W8" s="87"/>
      <c r="X8" s="87"/>
      <c r="Y8" s="87"/>
      <c r="Z8" s="87"/>
      <c r="AA8" s="87"/>
    </row>
    <row r="9" spans="1:27" ht="14.25" customHeight="1" x14ac:dyDescent="0.25">
      <c r="A9" s="13">
        <v>4</v>
      </c>
      <c r="B9" s="14" t="s">
        <v>27</v>
      </c>
      <c r="C9" s="28">
        <v>60</v>
      </c>
      <c r="D9" s="28">
        <v>0</v>
      </c>
      <c r="E9" s="28">
        <v>0</v>
      </c>
      <c r="F9" s="52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/>
      <c r="N9" s="28"/>
      <c r="O9" s="28"/>
      <c r="P9" s="28">
        <f t="shared" si="0"/>
        <v>0</v>
      </c>
      <c r="Q9" s="40">
        <f t="shared" si="1"/>
        <v>0</v>
      </c>
      <c r="S9" s="27"/>
      <c r="T9" s="12"/>
      <c r="U9" s="83"/>
      <c r="V9" s="83"/>
      <c r="W9" s="83"/>
      <c r="X9" s="83"/>
      <c r="Y9" s="83"/>
      <c r="Z9" s="83"/>
      <c r="AA9" s="83"/>
    </row>
    <row r="10" spans="1:27" ht="14.25" customHeight="1" x14ac:dyDescent="0.25">
      <c r="A10" s="13">
        <v>5</v>
      </c>
      <c r="B10" s="14" t="s">
        <v>28</v>
      </c>
      <c r="C10" s="28">
        <v>38</v>
      </c>
      <c r="D10" s="28">
        <v>0</v>
      </c>
      <c r="E10" s="28">
        <v>0</v>
      </c>
      <c r="F10" s="52">
        <v>6</v>
      </c>
      <c r="G10" s="28">
        <v>0</v>
      </c>
      <c r="H10" s="28">
        <v>0</v>
      </c>
      <c r="I10" s="28">
        <v>28</v>
      </c>
      <c r="J10" s="28">
        <v>0</v>
      </c>
      <c r="K10" s="28">
        <v>0</v>
      </c>
      <c r="L10" s="28">
        <v>15</v>
      </c>
      <c r="M10" s="28"/>
      <c r="N10" s="28"/>
      <c r="O10" s="28"/>
      <c r="P10" s="28">
        <f t="shared" si="0"/>
        <v>49</v>
      </c>
      <c r="Q10" s="40">
        <f t="shared" si="1"/>
        <v>1.2894736842105263</v>
      </c>
      <c r="S10" s="27"/>
      <c r="T10" s="12"/>
      <c r="U10" s="91"/>
      <c r="V10" s="84"/>
      <c r="W10" s="84"/>
      <c r="X10" s="82"/>
      <c r="Y10" s="84"/>
      <c r="Z10" s="84"/>
      <c r="AA10" s="82"/>
    </row>
    <row r="11" spans="1:27" ht="14.25" customHeight="1" x14ac:dyDescent="0.25">
      <c r="A11" s="13">
        <v>6</v>
      </c>
      <c r="B11" s="14" t="s">
        <v>29</v>
      </c>
      <c r="C11" s="28">
        <v>296</v>
      </c>
      <c r="D11" s="28">
        <v>0</v>
      </c>
      <c r="E11" s="28">
        <v>0</v>
      </c>
      <c r="F11" s="52">
        <v>37</v>
      </c>
      <c r="G11" s="28">
        <v>0</v>
      </c>
      <c r="H11" s="28">
        <v>0</v>
      </c>
      <c r="I11" s="28">
        <v>11</v>
      </c>
      <c r="J11" s="28">
        <v>0</v>
      </c>
      <c r="K11" s="28">
        <v>0</v>
      </c>
      <c r="L11" s="28">
        <v>30</v>
      </c>
      <c r="M11" s="28"/>
      <c r="N11" s="28"/>
      <c r="O11" s="28"/>
      <c r="P11" s="28">
        <f t="shared" si="0"/>
        <v>78</v>
      </c>
      <c r="Q11" s="40">
        <f t="shared" si="1"/>
        <v>0.26351351351351349</v>
      </c>
      <c r="S11" s="27"/>
      <c r="T11" s="12"/>
      <c r="U11" s="83"/>
      <c r="V11" s="83"/>
      <c r="W11" s="83"/>
      <c r="X11" s="83"/>
      <c r="Y11" s="83"/>
      <c r="Z11" s="83"/>
      <c r="AA11" s="83"/>
    </row>
    <row r="12" spans="1:27" ht="14.25" customHeight="1" x14ac:dyDescent="0.25">
      <c r="A12" s="13">
        <v>7</v>
      </c>
      <c r="B12" s="14" t="s">
        <v>30</v>
      </c>
      <c r="C12" s="28">
        <v>46</v>
      </c>
      <c r="D12" s="28">
        <v>0</v>
      </c>
      <c r="E12" s="28">
        <v>0</v>
      </c>
      <c r="F12" s="52">
        <v>4</v>
      </c>
      <c r="G12" s="28">
        <v>0</v>
      </c>
      <c r="H12" s="28">
        <v>0</v>
      </c>
      <c r="I12" s="28">
        <v>19</v>
      </c>
      <c r="J12" s="28">
        <v>0</v>
      </c>
      <c r="K12" s="28">
        <v>0</v>
      </c>
      <c r="L12" s="28">
        <v>11</v>
      </c>
      <c r="M12" s="28"/>
      <c r="N12" s="28"/>
      <c r="O12" s="28"/>
      <c r="P12" s="28">
        <f t="shared" si="0"/>
        <v>34</v>
      </c>
      <c r="Q12" s="40">
        <f t="shared" si="1"/>
        <v>0.73913043478260865</v>
      </c>
      <c r="S12" s="27"/>
      <c r="T12" s="12"/>
    </row>
    <row r="13" spans="1:27" ht="14.25" customHeight="1" x14ac:dyDescent="0.25">
      <c r="A13" s="13">
        <v>8</v>
      </c>
      <c r="B13" s="14" t="s">
        <v>31</v>
      </c>
      <c r="C13" s="28">
        <v>166</v>
      </c>
      <c r="D13" s="28">
        <v>0</v>
      </c>
      <c r="E13" s="28">
        <v>0</v>
      </c>
      <c r="F13" s="52">
        <v>20</v>
      </c>
      <c r="G13" s="28">
        <v>0</v>
      </c>
      <c r="H13" s="28">
        <v>0</v>
      </c>
      <c r="I13" s="28">
        <v>91</v>
      </c>
      <c r="J13" s="28">
        <v>0</v>
      </c>
      <c r="K13" s="28">
        <v>0</v>
      </c>
      <c r="L13" s="28">
        <v>0</v>
      </c>
      <c r="M13" s="28"/>
      <c r="N13" s="28"/>
      <c r="O13" s="28"/>
      <c r="P13" s="28">
        <f t="shared" si="0"/>
        <v>111</v>
      </c>
      <c r="Q13" s="40">
        <f t="shared" si="1"/>
        <v>0.66867469879518071</v>
      </c>
      <c r="S13" s="27"/>
      <c r="T13" s="12"/>
      <c r="V13" s="12"/>
      <c r="W13" s="12"/>
      <c r="X13" s="12"/>
      <c r="Y13" s="12"/>
      <c r="Z13" s="12"/>
      <c r="AA13" s="12"/>
    </row>
    <row r="14" spans="1:27" ht="14.25" customHeight="1" x14ac:dyDescent="0.25">
      <c r="A14" s="13">
        <v>9</v>
      </c>
      <c r="B14" s="14" t="s">
        <v>32</v>
      </c>
      <c r="C14" s="28">
        <v>37</v>
      </c>
      <c r="D14" s="28">
        <v>0</v>
      </c>
      <c r="E14" s="28">
        <v>0</v>
      </c>
      <c r="F14" s="52">
        <v>3</v>
      </c>
      <c r="G14" s="28">
        <v>0</v>
      </c>
      <c r="H14" s="28">
        <v>0</v>
      </c>
      <c r="I14" s="28">
        <v>15</v>
      </c>
      <c r="J14" s="28">
        <v>0</v>
      </c>
      <c r="K14" s="28">
        <v>0</v>
      </c>
      <c r="L14" s="28">
        <v>9</v>
      </c>
      <c r="M14" s="28"/>
      <c r="N14" s="28"/>
      <c r="O14" s="28"/>
      <c r="P14" s="28">
        <f t="shared" si="0"/>
        <v>27</v>
      </c>
      <c r="Q14" s="40">
        <f t="shared" si="1"/>
        <v>0.72972972972972971</v>
      </c>
      <c r="S14" s="27"/>
      <c r="T14" s="12"/>
    </row>
    <row r="15" spans="1:27" ht="14.25" customHeight="1" x14ac:dyDescent="0.25">
      <c r="A15" s="13">
        <v>10</v>
      </c>
      <c r="B15" s="14" t="s">
        <v>33</v>
      </c>
      <c r="C15" s="28">
        <v>263</v>
      </c>
      <c r="D15" s="28">
        <v>0</v>
      </c>
      <c r="E15" s="28">
        <v>0</v>
      </c>
      <c r="F15" s="52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/>
      <c r="N15" s="28"/>
      <c r="O15" s="28"/>
      <c r="P15" s="28">
        <f t="shared" si="0"/>
        <v>0</v>
      </c>
      <c r="Q15" s="40">
        <f t="shared" si="1"/>
        <v>0</v>
      </c>
      <c r="S15" s="27"/>
      <c r="T15" s="12"/>
    </row>
    <row r="16" spans="1:27" ht="14.25" customHeight="1" x14ac:dyDescent="0.25">
      <c r="A16" s="13">
        <v>11</v>
      </c>
      <c r="B16" s="14" t="s">
        <v>34</v>
      </c>
      <c r="C16" s="28">
        <v>106</v>
      </c>
      <c r="D16" s="28">
        <v>0</v>
      </c>
      <c r="E16" s="28">
        <v>0</v>
      </c>
      <c r="F16" s="52">
        <v>12</v>
      </c>
      <c r="G16" s="28">
        <v>0</v>
      </c>
      <c r="H16" s="28">
        <v>0</v>
      </c>
      <c r="I16" s="28">
        <v>57</v>
      </c>
      <c r="J16" s="28">
        <v>0</v>
      </c>
      <c r="K16" s="28">
        <v>0</v>
      </c>
      <c r="L16" s="28">
        <v>31</v>
      </c>
      <c r="M16" s="28"/>
      <c r="N16" s="28"/>
      <c r="O16" s="28"/>
      <c r="P16" s="28">
        <f t="shared" si="0"/>
        <v>100</v>
      </c>
      <c r="Q16" s="40">
        <f t="shared" si="1"/>
        <v>0.94339622641509435</v>
      </c>
      <c r="S16" s="27"/>
      <c r="T16" s="12"/>
    </row>
    <row r="17" spans="1:20" ht="14.25" customHeight="1" x14ac:dyDescent="0.25">
      <c r="A17" s="13">
        <v>12</v>
      </c>
      <c r="B17" s="14" t="s">
        <v>35</v>
      </c>
      <c r="C17" s="28">
        <v>19</v>
      </c>
      <c r="D17" s="28">
        <v>0</v>
      </c>
      <c r="E17" s="28">
        <v>0</v>
      </c>
      <c r="F17" s="52">
        <v>3</v>
      </c>
      <c r="G17" s="28">
        <v>0</v>
      </c>
      <c r="H17" s="28">
        <v>0</v>
      </c>
      <c r="I17" s="28">
        <v>13</v>
      </c>
      <c r="J17" s="28">
        <v>0</v>
      </c>
      <c r="K17" s="28">
        <v>0</v>
      </c>
      <c r="L17" s="28">
        <v>7</v>
      </c>
      <c r="M17" s="28"/>
      <c r="N17" s="28"/>
      <c r="O17" s="28"/>
      <c r="P17" s="28">
        <f t="shared" si="0"/>
        <v>23</v>
      </c>
      <c r="Q17" s="40">
        <f t="shared" si="1"/>
        <v>1.2105263157894737</v>
      </c>
      <c r="S17" s="27"/>
      <c r="T17" s="12"/>
    </row>
    <row r="18" spans="1:20" ht="14.25" customHeight="1" x14ac:dyDescent="0.25">
      <c r="A18" s="13">
        <v>13</v>
      </c>
      <c r="B18" s="14" t="s">
        <v>36</v>
      </c>
      <c r="C18" s="28">
        <v>67</v>
      </c>
      <c r="D18" s="28">
        <v>0</v>
      </c>
      <c r="E18" s="28">
        <v>0</v>
      </c>
      <c r="F18" s="52">
        <v>6</v>
      </c>
      <c r="G18" s="28">
        <v>0</v>
      </c>
      <c r="H18" s="28">
        <v>0</v>
      </c>
      <c r="I18" s="28">
        <v>3</v>
      </c>
      <c r="J18" s="28">
        <v>0</v>
      </c>
      <c r="K18" s="28">
        <v>0</v>
      </c>
      <c r="L18" s="28">
        <v>2</v>
      </c>
      <c r="M18" s="28"/>
      <c r="N18" s="28"/>
      <c r="O18" s="28"/>
      <c r="P18" s="28">
        <f t="shared" si="0"/>
        <v>11</v>
      </c>
      <c r="Q18" s="40">
        <f t="shared" si="1"/>
        <v>0.16417910447761194</v>
      </c>
      <c r="S18" s="27"/>
      <c r="T18" s="12"/>
    </row>
    <row r="19" spans="1:20" ht="14.25" customHeight="1" x14ac:dyDescent="0.25">
      <c r="A19" s="13">
        <v>14</v>
      </c>
      <c r="B19" s="14" t="s">
        <v>37</v>
      </c>
      <c r="C19" s="28">
        <v>4</v>
      </c>
      <c r="D19" s="28">
        <v>0</v>
      </c>
      <c r="E19" s="28">
        <v>0</v>
      </c>
      <c r="F19" s="52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/>
      <c r="N19" s="28"/>
      <c r="O19" s="28"/>
      <c r="P19" s="28">
        <f t="shared" si="0"/>
        <v>0</v>
      </c>
      <c r="Q19" s="40">
        <f t="shared" si="1"/>
        <v>0</v>
      </c>
      <c r="S19" s="27"/>
      <c r="T19" s="12"/>
    </row>
    <row r="20" spans="1:20" ht="14.25" customHeight="1" x14ac:dyDescent="0.25">
      <c r="A20" s="13">
        <v>15</v>
      </c>
      <c r="B20" s="14" t="s">
        <v>38</v>
      </c>
      <c r="C20" s="28">
        <v>1410</v>
      </c>
      <c r="D20" s="28">
        <v>0</v>
      </c>
      <c r="E20" s="28">
        <v>0</v>
      </c>
      <c r="F20" s="52">
        <v>185</v>
      </c>
      <c r="G20" s="28">
        <v>0</v>
      </c>
      <c r="H20" s="28">
        <v>0</v>
      </c>
      <c r="I20" s="28">
        <v>466</v>
      </c>
      <c r="J20" s="28">
        <v>0</v>
      </c>
      <c r="K20" s="28">
        <v>0</v>
      </c>
      <c r="L20" s="28">
        <v>295</v>
      </c>
      <c r="M20" s="28"/>
      <c r="N20" s="28"/>
      <c r="O20" s="28"/>
      <c r="P20" s="28">
        <f t="shared" si="0"/>
        <v>946</v>
      </c>
      <c r="Q20" s="40">
        <f t="shared" si="1"/>
        <v>0.67092198581560281</v>
      </c>
      <c r="S20" s="27"/>
      <c r="T20" s="12"/>
    </row>
    <row r="21" spans="1:20" ht="14.25" customHeight="1" x14ac:dyDescent="0.25">
      <c r="A21" s="13">
        <v>16</v>
      </c>
      <c r="B21" s="14" t="s">
        <v>39</v>
      </c>
      <c r="C21" s="28">
        <v>31</v>
      </c>
      <c r="D21" s="28">
        <v>0</v>
      </c>
      <c r="E21" s="28">
        <v>0</v>
      </c>
      <c r="F21" s="52">
        <v>10</v>
      </c>
      <c r="G21" s="28">
        <v>0</v>
      </c>
      <c r="H21" s="28">
        <v>0</v>
      </c>
      <c r="I21" s="28">
        <v>47</v>
      </c>
      <c r="J21" s="28">
        <v>0</v>
      </c>
      <c r="K21" s="28">
        <v>0</v>
      </c>
      <c r="L21" s="28">
        <v>29</v>
      </c>
      <c r="M21" s="28"/>
      <c r="N21" s="28"/>
      <c r="O21" s="28"/>
      <c r="P21" s="28">
        <f t="shared" si="0"/>
        <v>86</v>
      </c>
      <c r="Q21" s="40">
        <f t="shared" si="1"/>
        <v>2.774193548387097</v>
      </c>
      <c r="S21" s="27"/>
      <c r="T21" s="12"/>
    </row>
    <row r="22" spans="1:20" ht="14.25" customHeight="1" x14ac:dyDescent="0.25">
      <c r="A22" s="13">
        <v>17</v>
      </c>
      <c r="B22" s="14" t="s">
        <v>40</v>
      </c>
      <c r="C22" s="28">
        <v>50</v>
      </c>
      <c r="D22" s="28">
        <v>0</v>
      </c>
      <c r="E22" s="28">
        <v>0</v>
      </c>
      <c r="F22" s="52">
        <v>3</v>
      </c>
      <c r="G22" s="28">
        <v>0</v>
      </c>
      <c r="H22" s="28">
        <v>0</v>
      </c>
      <c r="I22" s="28">
        <v>3</v>
      </c>
      <c r="J22" s="28">
        <v>0</v>
      </c>
      <c r="K22" s="28">
        <v>0</v>
      </c>
      <c r="L22" s="28">
        <v>24</v>
      </c>
      <c r="M22" s="28"/>
      <c r="N22" s="28"/>
      <c r="O22" s="28"/>
      <c r="P22" s="28">
        <f t="shared" si="0"/>
        <v>30</v>
      </c>
      <c r="Q22" s="40">
        <f t="shared" si="1"/>
        <v>0.6</v>
      </c>
      <c r="S22" s="27"/>
      <c r="T22" s="12"/>
    </row>
    <row r="23" spans="1:20" ht="14.25" customHeight="1" x14ac:dyDescent="0.25">
      <c r="A23" s="13">
        <v>18</v>
      </c>
      <c r="B23" s="14" t="s">
        <v>41</v>
      </c>
      <c r="C23" s="28">
        <v>133</v>
      </c>
      <c r="D23" s="28">
        <v>0</v>
      </c>
      <c r="E23" s="28">
        <v>0</v>
      </c>
      <c r="F23" s="52">
        <v>22</v>
      </c>
      <c r="G23" s="28">
        <v>0</v>
      </c>
      <c r="H23" s="28">
        <v>0</v>
      </c>
      <c r="I23" s="28">
        <v>117</v>
      </c>
      <c r="J23" s="28">
        <v>0</v>
      </c>
      <c r="K23" s="28">
        <v>0</v>
      </c>
      <c r="L23" s="28">
        <v>58</v>
      </c>
      <c r="M23" s="28"/>
      <c r="N23" s="28"/>
      <c r="O23" s="28"/>
      <c r="P23" s="28">
        <f t="shared" si="0"/>
        <v>197</v>
      </c>
      <c r="Q23" s="40">
        <f t="shared" si="1"/>
        <v>1.481203007518797</v>
      </c>
      <c r="S23" s="27"/>
      <c r="T23" s="12"/>
    </row>
    <row r="24" spans="1:20" ht="14.25" customHeight="1" x14ac:dyDescent="0.25">
      <c r="A24" s="13">
        <v>19</v>
      </c>
      <c r="B24" s="14" t="s">
        <v>42</v>
      </c>
      <c r="C24" s="28">
        <v>699</v>
      </c>
      <c r="D24" s="28">
        <v>0</v>
      </c>
      <c r="E24" s="28">
        <v>0</v>
      </c>
      <c r="F24" s="52">
        <v>39</v>
      </c>
      <c r="G24" s="28">
        <v>0</v>
      </c>
      <c r="H24" s="28">
        <v>0</v>
      </c>
      <c r="I24" s="28">
        <v>489</v>
      </c>
      <c r="J24" s="28">
        <v>0</v>
      </c>
      <c r="K24" s="28">
        <v>0</v>
      </c>
      <c r="L24" s="28">
        <v>112</v>
      </c>
      <c r="M24" s="28"/>
      <c r="N24" s="28"/>
      <c r="O24" s="28"/>
      <c r="P24" s="28">
        <f t="shared" si="0"/>
        <v>640</v>
      </c>
      <c r="Q24" s="40">
        <f t="shared" si="1"/>
        <v>0.91559370529327611</v>
      </c>
      <c r="S24" s="27"/>
      <c r="T24" s="12"/>
    </row>
    <row r="25" spans="1:20" ht="14.25" customHeight="1" x14ac:dyDescent="0.25">
      <c r="A25" s="13">
        <v>20</v>
      </c>
      <c r="B25" s="14" t="s">
        <v>43</v>
      </c>
      <c r="C25" s="28">
        <v>2276</v>
      </c>
      <c r="D25" s="28">
        <v>0</v>
      </c>
      <c r="E25" s="28">
        <v>0</v>
      </c>
      <c r="F25" s="52">
        <v>13</v>
      </c>
      <c r="G25" s="28">
        <v>0</v>
      </c>
      <c r="H25" s="28">
        <v>0</v>
      </c>
      <c r="I25" s="28">
        <v>61</v>
      </c>
      <c r="J25" s="28">
        <v>0</v>
      </c>
      <c r="K25" s="28">
        <v>0</v>
      </c>
      <c r="L25" s="28">
        <v>32</v>
      </c>
      <c r="M25" s="28"/>
      <c r="N25" s="28"/>
      <c r="O25" s="28"/>
      <c r="P25" s="28">
        <f t="shared" si="0"/>
        <v>106</v>
      </c>
      <c r="Q25" s="40">
        <f t="shared" si="1"/>
        <v>4.6572934973637958E-2</v>
      </c>
      <c r="S25" s="27"/>
      <c r="T25" s="12"/>
    </row>
    <row r="26" spans="1:20" ht="14.25" customHeight="1" x14ac:dyDescent="0.25">
      <c r="A26" s="13">
        <v>21</v>
      </c>
      <c r="B26" s="14" t="s">
        <v>44</v>
      </c>
      <c r="C26" s="28">
        <v>1123</v>
      </c>
      <c r="D26" s="28">
        <v>0</v>
      </c>
      <c r="E26" s="28">
        <v>0</v>
      </c>
      <c r="F26" s="52">
        <v>118</v>
      </c>
      <c r="G26" s="28">
        <v>0</v>
      </c>
      <c r="H26" s="28">
        <v>0</v>
      </c>
      <c r="I26" s="28">
        <v>543</v>
      </c>
      <c r="J26" s="28">
        <v>0</v>
      </c>
      <c r="K26" s="28">
        <v>0</v>
      </c>
      <c r="L26" s="28">
        <v>291</v>
      </c>
      <c r="M26" s="28"/>
      <c r="N26" s="28"/>
      <c r="O26" s="28"/>
      <c r="P26" s="28">
        <f t="shared" si="0"/>
        <v>952</v>
      </c>
      <c r="Q26" s="40">
        <f t="shared" si="1"/>
        <v>0.84772929652715945</v>
      </c>
      <c r="S26" s="27"/>
      <c r="T26" s="12"/>
    </row>
    <row r="27" spans="1:20" ht="14.25" customHeight="1" x14ac:dyDescent="0.25">
      <c r="A27" s="13">
        <v>22</v>
      </c>
      <c r="B27" s="14" t="s">
        <v>45</v>
      </c>
      <c r="C27" s="28">
        <v>288</v>
      </c>
      <c r="D27" s="28">
        <v>0</v>
      </c>
      <c r="E27" s="28">
        <v>0</v>
      </c>
      <c r="F27" s="52">
        <v>26</v>
      </c>
      <c r="G27" s="28">
        <v>0</v>
      </c>
      <c r="H27" s="28">
        <v>0</v>
      </c>
      <c r="I27" s="28">
        <v>121</v>
      </c>
      <c r="J27" s="28">
        <v>0</v>
      </c>
      <c r="K27" s="28">
        <v>0</v>
      </c>
      <c r="L27" s="28">
        <v>72</v>
      </c>
      <c r="M27" s="28"/>
      <c r="N27" s="28"/>
      <c r="O27" s="28"/>
      <c r="P27" s="28">
        <f t="shared" si="0"/>
        <v>219</v>
      </c>
      <c r="Q27" s="40">
        <f t="shared" si="1"/>
        <v>0.76041666666666663</v>
      </c>
      <c r="S27" s="27"/>
      <c r="T27" s="12"/>
    </row>
    <row r="28" spans="1:20" ht="14.25" customHeight="1" x14ac:dyDescent="0.25">
      <c r="A28" s="13">
        <v>23</v>
      </c>
      <c r="B28" s="14" t="s">
        <v>46</v>
      </c>
      <c r="C28" s="28">
        <v>1151</v>
      </c>
      <c r="D28" s="28">
        <v>0</v>
      </c>
      <c r="E28" s="28">
        <v>0</v>
      </c>
      <c r="F28" s="52">
        <v>134</v>
      </c>
      <c r="G28" s="28">
        <v>0</v>
      </c>
      <c r="H28" s="28">
        <v>0</v>
      </c>
      <c r="I28" s="28">
        <v>618</v>
      </c>
      <c r="J28" s="28">
        <v>0</v>
      </c>
      <c r="K28" s="28">
        <v>0</v>
      </c>
      <c r="L28" s="28">
        <v>378</v>
      </c>
      <c r="M28" s="28"/>
      <c r="N28" s="28"/>
      <c r="O28" s="28"/>
      <c r="P28" s="28">
        <f t="shared" si="0"/>
        <v>1130</v>
      </c>
      <c r="Q28" s="40">
        <f t="shared" si="1"/>
        <v>0.98175499565595137</v>
      </c>
      <c r="S28" s="27"/>
      <c r="T28" s="12"/>
    </row>
    <row r="29" spans="1:20" ht="14.25" customHeight="1" x14ac:dyDescent="0.25">
      <c r="A29" s="13">
        <v>24</v>
      </c>
      <c r="B29" s="14" t="s">
        <v>47</v>
      </c>
      <c r="C29" s="28">
        <v>38</v>
      </c>
      <c r="D29" s="28">
        <v>0</v>
      </c>
      <c r="E29" s="28">
        <v>0</v>
      </c>
      <c r="F29" s="52">
        <v>10</v>
      </c>
      <c r="G29" s="28">
        <v>0</v>
      </c>
      <c r="H29" s="28">
        <v>0</v>
      </c>
      <c r="I29" s="28">
        <v>48</v>
      </c>
      <c r="J29" s="28">
        <v>0</v>
      </c>
      <c r="K29" s="28">
        <v>0</v>
      </c>
      <c r="L29" s="28">
        <v>31</v>
      </c>
      <c r="M29" s="28"/>
      <c r="N29" s="28"/>
      <c r="O29" s="28"/>
      <c r="P29" s="28">
        <f t="shared" si="0"/>
        <v>89</v>
      </c>
      <c r="Q29" s="40">
        <f t="shared" si="1"/>
        <v>2.3421052631578947</v>
      </c>
      <c r="S29" s="27"/>
      <c r="T29" s="12"/>
    </row>
    <row r="30" spans="1:20" ht="14.25" customHeight="1" x14ac:dyDescent="0.25">
      <c r="A30" s="13">
        <v>25</v>
      </c>
      <c r="B30" s="14" t="s">
        <v>48</v>
      </c>
      <c r="C30" s="28">
        <v>48</v>
      </c>
      <c r="D30" s="28">
        <v>0</v>
      </c>
      <c r="E30" s="28">
        <v>0</v>
      </c>
      <c r="F30" s="52">
        <v>1</v>
      </c>
      <c r="G30" s="28">
        <v>0</v>
      </c>
      <c r="H30" s="28">
        <v>0</v>
      </c>
      <c r="I30" s="28">
        <v>5</v>
      </c>
      <c r="J30" s="28">
        <v>0</v>
      </c>
      <c r="K30" s="28">
        <v>0</v>
      </c>
      <c r="L30" s="28">
        <v>3</v>
      </c>
      <c r="M30" s="28"/>
      <c r="N30" s="28"/>
      <c r="O30" s="28"/>
      <c r="P30" s="28">
        <f t="shared" si="0"/>
        <v>9</v>
      </c>
      <c r="Q30" s="40">
        <f t="shared" si="1"/>
        <v>0.1875</v>
      </c>
      <c r="S30" s="27"/>
      <c r="T30" s="12"/>
    </row>
    <row r="31" spans="1:20" ht="14.25" customHeight="1" x14ac:dyDescent="0.25">
      <c r="A31" s="13">
        <v>26</v>
      </c>
      <c r="B31" s="14" t="s">
        <v>49</v>
      </c>
      <c r="C31" s="28">
        <v>128</v>
      </c>
      <c r="D31" s="28">
        <v>0</v>
      </c>
      <c r="E31" s="28">
        <v>0</v>
      </c>
      <c r="F31" s="52">
        <v>6</v>
      </c>
      <c r="G31" s="28">
        <v>0</v>
      </c>
      <c r="H31" s="28">
        <v>0</v>
      </c>
      <c r="I31" s="28">
        <v>10</v>
      </c>
      <c r="J31" s="28">
        <v>0</v>
      </c>
      <c r="K31" s="28">
        <v>0</v>
      </c>
      <c r="L31" s="28">
        <v>17</v>
      </c>
      <c r="M31" s="28"/>
      <c r="N31" s="28"/>
      <c r="O31" s="28"/>
      <c r="P31" s="28">
        <f t="shared" si="0"/>
        <v>33</v>
      </c>
      <c r="Q31" s="40">
        <f t="shared" si="1"/>
        <v>0.2578125</v>
      </c>
      <c r="S31" s="27"/>
      <c r="T31" s="12"/>
    </row>
    <row r="32" spans="1:20" ht="14.25" customHeight="1" x14ac:dyDescent="0.25">
      <c r="A32" s="13">
        <v>27</v>
      </c>
      <c r="B32" s="14" t="s">
        <v>50</v>
      </c>
      <c r="C32" s="28">
        <v>992</v>
      </c>
      <c r="D32" s="28">
        <v>0</v>
      </c>
      <c r="E32" s="28">
        <v>0</v>
      </c>
      <c r="F32" s="52">
        <v>104</v>
      </c>
      <c r="G32" s="28">
        <v>0</v>
      </c>
      <c r="H32" s="28">
        <v>0</v>
      </c>
      <c r="I32" s="28">
        <v>479</v>
      </c>
      <c r="J32" s="28">
        <v>0</v>
      </c>
      <c r="K32" s="28">
        <v>0</v>
      </c>
      <c r="L32" s="28">
        <v>294</v>
      </c>
      <c r="M32" s="28"/>
      <c r="N32" s="28"/>
      <c r="O32" s="28"/>
      <c r="P32" s="28">
        <f t="shared" si="0"/>
        <v>877</v>
      </c>
      <c r="Q32" s="40">
        <f t="shared" si="1"/>
        <v>0.88407258064516125</v>
      </c>
      <c r="S32" s="27"/>
      <c r="T32" s="12"/>
    </row>
    <row r="33" spans="1:20" ht="14.25" customHeight="1" x14ac:dyDescent="0.25">
      <c r="A33" s="13">
        <v>28</v>
      </c>
      <c r="B33" s="14" t="s">
        <v>51</v>
      </c>
      <c r="C33" s="28">
        <v>138</v>
      </c>
      <c r="D33" s="28">
        <v>0</v>
      </c>
      <c r="E33" s="28">
        <v>0</v>
      </c>
      <c r="F33" s="52">
        <v>87</v>
      </c>
      <c r="G33" s="28">
        <v>0</v>
      </c>
      <c r="H33" s="28">
        <v>0</v>
      </c>
      <c r="I33" s="28">
        <v>400</v>
      </c>
      <c r="J33" s="28">
        <v>0</v>
      </c>
      <c r="K33" s="28">
        <v>0</v>
      </c>
      <c r="L33" s="28">
        <v>262</v>
      </c>
      <c r="M33" s="28"/>
      <c r="N33" s="28"/>
      <c r="O33" s="28"/>
      <c r="P33" s="28">
        <f t="shared" si="0"/>
        <v>749</v>
      </c>
      <c r="Q33" s="40">
        <f t="shared" si="1"/>
        <v>5.4275362318840576</v>
      </c>
      <c r="S33" s="27"/>
      <c r="T33" s="12"/>
    </row>
    <row r="34" spans="1:20" ht="14.25" customHeight="1" x14ac:dyDescent="0.25">
      <c r="A34" s="13">
        <v>29</v>
      </c>
      <c r="B34" s="14" t="s">
        <v>52</v>
      </c>
      <c r="C34" s="28">
        <v>978</v>
      </c>
      <c r="D34" s="28">
        <v>0</v>
      </c>
      <c r="E34" s="28">
        <v>0</v>
      </c>
      <c r="F34" s="52">
        <v>15</v>
      </c>
      <c r="G34" s="28">
        <v>0</v>
      </c>
      <c r="H34" s="28">
        <v>0</v>
      </c>
      <c r="I34" s="28">
        <v>70</v>
      </c>
      <c r="J34" s="28">
        <v>0</v>
      </c>
      <c r="K34" s="28">
        <v>0</v>
      </c>
      <c r="L34" s="28">
        <v>42</v>
      </c>
      <c r="M34" s="28"/>
      <c r="N34" s="28"/>
      <c r="O34" s="28"/>
      <c r="P34" s="28">
        <f t="shared" si="0"/>
        <v>127</v>
      </c>
      <c r="Q34" s="40">
        <f t="shared" si="1"/>
        <v>0.12985685071574643</v>
      </c>
      <c r="S34" s="27"/>
      <c r="T34" s="12"/>
    </row>
    <row r="35" spans="1:20" ht="14.25" customHeight="1" x14ac:dyDescent="0.25">
      <c r="A35" s="13">
        <v>30</v>
      </c>
      <c r="B35" s="14" t="s">
        <v>53</v>
      </c>
      <c r="C35" s="28">
        <v>1413</v>
      </c>
      <c r="D35" s="28">
        <v>0</v>
      </c>
      <c r="E35" s="28">
        <v>0</v>
      </c>
      <c r="F35" s="52">
        <v>57</v>
      </c>
      <c r="G35" s="28">
        <v>0</v>
      </c>
      <c r="H35" s="28">
        <v>0</v>
      </c>
      <c r="I35" s="28">
        <v>125</v>
      </c>
      <c r="J35" s="28">
        <v>0</v>
      </c>
      <c r="K35" s="28">
        <v>0</v>
      </c>
      <c r="L35" s="28">
        <v>74</v>
      </c>
      <c r="M35" s="28"/>
      <c r="N35" s="28"/>
      <c r="O35" s="28"/>
      <c r="P35" s="28">
        <f t="shared" si="0"/>
        <v>256</v>
      </c>
      <c r="Q35" s="40">
        <f t="shared" si="1"/>
        <v>0.18117480537862704</v>
      </c>
      <c r="S35" s="27"/>
      <c r="T35" s="12"/>
    </row>
    <row r="36" spans="1:20" ht="14.25" customHeight="1" x14ac:dyDescent="0.25">
      <c r="A36" s="13">
        <v>31</v>
      </c>
      <c r="B36" s="14" t="s">
        <v>54</v>
      </c>
      <c r="C36" s="28">
        <v>220</v>
      </c>
      <c r="D36" s="28">
        <v>0</v>
      </c>
      <c r="E36" s="28">
        <v>0</v>
      </c>
      <c r="F36" s="52">
        <v>2</v>
      </c>
      <c r="G36" s="28">
        <v>0</v>
      </c>
      <c r="H36" s="28">
        <v>0</v>
      </c>
      <c r="I36" s="28">
        <v>11</v>
      </c>
      <c r="J36" s="28">
        <v>0</v>
      </c>
      <c r="K36" s="28">
        <v>0</v>
      </c>
      <c r="L36" s="28">
        <v>6</v>
      </c>
      <c r="M36" s="28"/>
      <c r="N36" s="28"/>
      <c r="O36" s="28"/>
      <c r="P36" s="28">
        <f t="shared" si="0"/>
        <v>19</v>
      </c>
      <c r="Q36" s="40">
        <f t="shared" si="1"/>
        <v>8.6363636363636365E-2</v>
      </c>
      <c r="S36" s="27"/>
      <c r="T36" s="12"/>
    </row>
    <row r="37" spans="1:20" ht="14.25" customHeight="1" x14ac:dyDescent="0.25">
      <c r="A37" s="13">
        <v>32</v>
      </c>
      <c r="B37" s="14" t="s">
        <v>55</v>
      </c>
      <c r="C37" s="28">
        <v>75</v>
      </c>
      <c r="D37" s="28">
        <v>0</v>
      </c>
      <c r="E37" s="28">
        <v>0</v>
      </c>
      <c r="F37" s="52">
        <v>12</v>
      </c>
      <c r="G37" s="28">
        <v>0</v>
      </c>
      <c r="H37" s="28">
        <v>0</v>
      </c>
      <c r="I37" s="28">
        <v>55</v>
      </c>
      <c r="J37" s="28">
        <v>0</v>
      </c>
      <c r="K37" s="28">
        <v>0</v>
      </c>
      <c r="L37" s="28">
        <v>32</v>
      </c>
      <c r="M37" s="28"/>
      <c r="N37" s="28"/>
      <c r="O37" s="28"/>
      <c r="P37" s="28">
        <f t="shared" si="0"/>
        <v>99</v>
      </c>
      <c r="Q37" s="40">
        <f t="shared" si="1"/>
        <v>1.32</v>
      </c>
      <c r="S37" s="27"/>
      <c r="T37" s="12"/>
    </row>
    <row r="38" spans="1:20" ht="14.25" customHeight="1" x14ac:dyDescent="0.25">
      <c r="A38" s="13">
        <v>33</v>
      </c>
      <c r="B38" s="14" t="s">
        <v>56</v>
      </c>
      <c r="C38" s="28">
        <v>450</v>
      </c>
      <c r="D38" s="28">
        <v>0</v>
      </c>
      <c r="E38" s="28">
        <v>0</v>
      </c>
      <c r="F38" s="52">
        <v>16</v>
      </c>
      <c r="G38" s="28">
        <v>0</v>
      </c>
      <c r="H38" s="28">
        <v>0</v>
      </c>
      <c r="I38" s="28">
        <v>75</v>
      </c>
      <c r="J38" s="28">
        <v>0</v>
      </c>
      <c r="K38" s="28">
        <v>0</v>
      </c>
      <c r="L38" s="28">
        <v>44</v>
      </c>
      <c r="M38" s="28"/>
      <c r="N38" s="28"/>
      <c r="O38" s="28"/>
      <c r="P38" s="28">
        <f t="shared" si="0"/>
        <v>135</v>
      </c>
      <c r="Q38" s="40">
        <f t="shared" si="1"/>
        <v>0.3</v>
      </c>
      <c r="S38" s="27"/>
      <c r="T38" s="12"/>
    </row>
    <row r="39" spans="1:20" ht="14.25" customHeight="1" x14ac:dyDescent="0.25">
      <c r="A39" s="13">
        <v>34</v>
      </c>
      <c r="B39" s="14" t="s">
        <v>57</v>
      </c>
      <c r="C39" s="28">
        <v>52</v>
      </c>
      <c r="D39" s="28">
        <v>0</v>
      </c>
      <c r="E39" s="28">
        <v>0</v>
      </c>
      <c r="F39" s="52">
        <v>8</v>
      </c>
      <c r="G39" s="28">
        <v>0</v>
      </c>
      <c r="H39" s="28">
        <v>0</v>
      </c>
      <c r="I39" s="28">
        <v>12</v>
      </c>
      <c r="J39" s="28">
        <v>0</v>
      </c>
      <c r="K39" s="28">
        <v>0</v>
      </c>
      <c r="L39" s="28">
        <v>21</v>
      </c>
      <c r="M39" s="28"/>
      <c r="N39" s="28"/>
      <c r="O39" s="28"/>
      <c r="P39" s="28">
        <f t="shared" si="0"/>
        <v>41</v>
      </c>
      <c r="Q39" s="40">
        <f t="shared" si="1"/>
        <v>0.78846153846153844</v>
      </c>
      <c r="S39" s="27"/>
      <c r="T39" s="12"/>
    </row>
    <row r="40" spans="1:20" ht="14.25" customHeight="1" x14ac:dyDescent="0.25">
      <c r="A40" s="13">
        <v>35</v>
      </c>
      <c r="B40" s="14" t="s">
        <v>58</v>
      </c>
      <c r="C40" s="28">
        <v>0</v>
      </c>
      <c r="D40" s="28">
        <v>0</v>
      </c>
      <c r="E40" s="28">
        <v>0</v>
      </c>
      <c r="F40" s="52">
        <v>2</v>
      </c>
      <c r="G40" s="28">
        <v>0</v>
      </c>
      <c r="H40" s="28">
        <v>0</v>
      </c>
      <c r="I40" s="28">
        <v>7</v>
      </c>
      <c r="J40" s="28">
        <v>0</v>
      </c>
      <c r="K40" s="28">
        <v>0</v>
      </c>
      <c r="L40" s="28">
        <v>5</v>
      </c>
      <c r="M40" s="28"/>
      <c r="N40" s="28"/>
      <c r="O40" s="28"/>
      <c r="P40" s="28">
        <f t="shared" si="0"/>
        <v>14</v>
      </c>
      <c r="Q40" s="40" t="s">
        <v>77</v>
      </c>
      <c r="S40" s="27"/>
      <c r="T40" s="12"/>
    </row>
    <row r="41" spans="1:20" ht="14.25" customHeight="1" x14ac:dyDescent="0.25">
      <c r="A41" s="13">
        <v>36</v>
      </c>
      <c r="B41" s="14" t="s">
        <v>59</v>
      </c>
      <c r="C41" s="28">
        <v>194</v>
      </c>
      <c r="D41" s="28">
        <v>0</v>
      </c>
      <c r="E41" s="28">
        <v>0</v>
      </c>
      <c r="F41" s="52">
        <v>18</v>
      </c>
      <c r="G41" s="28">
        <v>0</v>
      </c>
      <c r="H41" s="28">
        <v>0</v>
      </c>
      <c r="I41" s="28">
        <v>85</v>
      </c>
      <c r="J41" s="28">
        <v>0</v>
      </c>
      <c r="K41" s="28">
        <v>0</v>
      </c>
      <c r="L41" s="28">
        <v>53</v>
      </c>
      <c r="M41" s="28"/>
      <c r="N41" s="28"/>
      <c r="O41" s="28"/>
      <c r="P41" s="28">
        <f t="shared" si="0"/>
        <v>156</v>
      </c>
      <c r="Q41" s="40">
        <f t="shared" ref="Q41:Q48" si="2">P41/C41</f>
        <v>0.80412371134020622</v>
      </c>
      <c r="S41" s="27"/>
      <c r="T41" s="12"/>
    </row>
    <row r="42" spans="1:20" ht="14.25" customHeight="1" x14ac:dyDescent="0.25">
      <c r="A42" s="13">
        <v>37</v>
      </c>
      <c r="B42" s="14" t="s">
        <v>60</v>
      </c>
      <c r="C42" s="28">
        <v>92</v>
      </c>
      <c r="D42" s="28">
        <v>0</v>
      </c>
      <c r="E42" s="28">
        <v>0</v>
      </c>
      <c r="F42" s="52">
        <v>6</v>
      </c>
      <c r="G42" s="28">
        <v>0</v>
      </c>
      <c r="H42" s="28">
        <v>0</v>
      </c>
      <c r="I42" s="28">
        <v>26</v>
      </c>
      <c r="J42" s="28">
        <v>0</v>
      </c>
      <c r="K42" s="28">
        <v>0</v>
      </c>
      <c r="L42" s="28">
        <v>17</v>
      </c>
      <c r="M42" s="28"/>
      <c r="N42" s="28"/>
      <c r="O42" s="28"/>
      <c r="P42" s="28">
        <f t="shared" si="0"/>
        <v>49</v>
      </c>
      <c r="Q42" s="40">
        <f t="shared" si="2"/>
        <v>0.53260869565217395</v>
      </c>
      <c r="S42" s="27"/>
      <c r="T42" s="12"/>
    </row>
    <row r="43" spans="1:20" ht="14.25" customHeight="1" x14ac:dyDescent="0.25">
      <c r="A43" s="13">
        <v>38</v>
      </c>
      <c r="B43" s="14" t="s">
        <v>61</v>
      </c>
      <c r="C43" s="28">
        <v>35</v>
      </c>
      <c r="D43" s="28">
        <v>0</v>
      </c>
      <c r="E43" s="28">
        <v>0</v>
      </c>
      <c r="F43" s="52">
        <v>3</v>
      </c>
      <c r="G43" s="28">
        <v>0</v>
      </c>
      <c r="H43" s="28">
        <v>0</v>
      </c>
      <c r="I43" s="28">
        <v>13</v>
      </c>
      <c r="J43" s="28">
        <v>0</v>
      </c>
      <c r="K43" s="28">
        <v>0</v>
      </c>
      <c r="L43" s="28">
        <v>7</v>
      </c>
      <c r="M43" s="28"/>
      <c r="N43" s="28"/>
      <c r="O43" s="28"/>
      <c r="P43" s="28">
        <f t="shared" si="0"/>
        <v>23</v>
      </c>
      <c r="Q43" s="40">
        <f t="shared" si="2"/>
        <v>0.65714285714285714</v>
      </c>
      <c r="S43" s="27"/>
      <c r="T43" s="12"/>
    </row>
    <row r="44" spans="1:20" ht="14.25" customHeight="1" x14ac:dyDescent="0.25">
      <c r="A44" s="13">
        <v>39</v>
      </c>
      <c r="B44" s="14" t="s">
        <v>62</v>
      </c>
      <c r="C44" s="28">
        <v>75</v>
      </c>
      <c r="D44" s="28">
        <v>0</v>
      </c>
      <c r="E44" s="28">
        <v>0</v>
      </c>
      <c r="F44" s="52">
        <v>2</v>
      </c>
      <c r="G44" s="28">
        <v>0</v>
      </c>
      <c r="H44" s="28">
        <v>0</v>
      </c>
      <c r="I44" s="28">
        <v>10</v>
      </c>
      <c r="J44" s="28">
        <v>0</v>
      </c>
      <c r="K44" s="28">
        <v>0</v>
      </c>
      <c r="L44" s="28">
        <v>7</v>
      </c>
      <c r="M44" s="28"/>
      <c r="N44" s="28"/>
      <c r="O44" s="28"/>
      <c r="P44" s="28">
        <f t="shared" si="0"/>
        <v>19</v>
      </c>
      <c r="Q44" s="40">
        <f t="shared" si="2"/>
        <v>0.25333333333333335</v>
      </c>
      <c r="S44" s="27"/>
      <c r="T44" s="12"/>
    </row>
    <row r="45" spans="1:20" ht="14.25" customHeight="1" x14ac:dyDescent="0.25">
      <c r="A45" s="13">
        <v>40</v>
      </c>
      <c r="B45" s="14" t="s">
        <v>63</v>
      </c>
      <c r="C45" s="28">
        <v>257</v>
      </c>
      <c r="D45" s="28">
        <v>0</v>
      </c>
      <c r="E45" s="28">
        <v>0</v>
      </c>
      <c r="F45" s="52">
        <v>20</v>
      </c>
      <c r="G45" s="28">
        <v>0</v>
      </c>
      <c r="H45" s="28">
        <v>0</v>
      </c>
      <c r="I45" s="28">
        <v>95</v>
      </c>
      <c r="J45" s="28">
        <v>0</v>
      </c>
      <c r="K45" s="28">
        <v>0</v>
      </c>
      <c r="L45" s="28">
        <v>0</v>
      </c>
      <c r="M45" s="28"/>
      <c r="N45" s="28"/>
      <c r="O45" s="28"/>
      <c r="P45" s="28">
        <f t="shared" si="0"/>
        <v>115</v>
      </c>
      <c r="Q45" s="40">
        <f t="shared" si="2"/>
        <v>0.44747081712062259</v>
      </c>
      <c r="S45" s="27"/>
      <c r="T45" s="12"/>
    </row>
    <row r="46" spans="1:20" ht="14.25" customHeight="1" x14ac:dyDescent="0.25">
      <c r="A46" s="13">
        <v>41</v>
      </c>
      <c r="B46" s="14" t="s">
        <v>64</v>
      </c>
      <c r="C46" s="28">
        <v>127</v>
      </c>
      <c r="D46" s="28">
        <v>0</v>
      </c>
      <c r="E46" s="28">
        <v>0</v>
      </c>
      <c r="F46" s="52">
        <v>6</v>
      </c>
      <c r="G46" s="28">
        <v>0</v>
      </c>
      <c r="H46" s="28">
        <v>0</v>
      </c>
      <c r="I46" s="28">
        <v>26</v>
      </c>
      <c r="J46" s="28">
        <v>0</v>
      </c>
      <c r="K46" s="28">
        <v>0</v>
      </c>
      <c r="L46" s="28">
        <v>16</v>
      </c>
      <c r="M46" s="28"/>
      <c r="N46" s="28"/>
      <c r="O46" s="28"/>
      <c r="P46" s="28">
        <f t="shared" si="0"/>
        <v>48</v>
      </c>
      <c r="Q46" s="40">
        <f t="shared" si="2"/>
        <v>0.37795275590551181</v>
      </c>
      <c r="S46" s="27"/>
      <c r="T46" s="12"/>
    </row>
    <row r="47" spans="1:20" ht="14.25" customHeight="1" x14ac:dyDescent="0.25">
      <c r="A47" s="18">
        <v>42</v>
      </c>
      <c r="B47" s="19" t="s">
        <v>65</v>
      </c>
      <c r="C47" s="29">
        <v>1</v>
      </c>
      <c r="D47" s="29">
        <v>0</v>
      </c>
      <c r="E47" s="29">
        <v>0</v>
      </c>
      <c r="F47" s="53">
        <v>0</v>
      </c>
      <c r="G47" s="29">
        <v>0</v>
      </c>
      <c r="H47" s="29">
        <v>0</v>
      </c>
      <c r="I47" s="29">
        <v>0</v>
      </c>
      <c r="J47" s="29">
        <v>0</v>
      </c>
      <c r="K47" s="29">
        <v>0</v>
      </c>
      <c r="L47" s="29">
        <v>0</v>
      </c>
      <c r="M47" s="28"/>
      <c r="N47" s="46"/>
      <c r="O47" s="46"/>
      <c r="P47" s="29">
        <f t="shared" si="0"/>
        <v>0</v>
      </c>
      <c r="Q47" s="42">
        <f t="shared" si="2"/>
        <v>0</v>
      </c>
      <c r="S47" s="27"/>
      <c r="T47" s="12"/>
    </row>
    <row r="48" spans="1:20" ht="14.25" customHeight="1" x14ac:dyDescent="0.25">
      <c r="A48" s="88" t="s">
        <v>66</v>
      </c>
      <c r="B48" s="89"/>
      <c r="C48" s="49">
        <f t="shared" ref="C48:M48" si="3">SUM(C6:C47)</f>
        <v>13742</v>
      </c>
      <c r="D48" s="49">
        <f t="shared" si="3"/>
        <v>0</v>
      </c>
      <c r="E48" s="49">
        <f t="shared" si="3"/>
        <v>0</v>
      </c>
      <c r="F48" s="49">
        <f t="shared" si="3"/>
        <v>1028</v>
      </c>
      <c r="G48" s="49">
        <f t="shared" si="3"/>
        <v>0</v>
      </c>
      <c r="H48" s="49">
        <f t="shared" si="3"/>
        <v>0</v>
      </c>
      <c r="I48" s="49">
        <f t="shared" si="3"/>
        <v>4310</v>
      </c>
      <c r="J48" s="49">
        <f t="shared" si="3"/>
        <v>0</v>
      </c>
      <c r="K48" s="49">
        <f t="shared" si="3"/>
        <v>0</v>
      </c>
      <c r="L48" s="49">
        <f t="shared" si="3"/>
        <v>2361</v>
      </c>
      <c r="M48" s="49">
        <f t="shared" si="3"/>
        <v>0</v>
      </c>
      <c r="N48" s="49"/>
      <c r="O48" s="49">
        <f t="shared" ref="O48:P48" si="4">SUM(O6:O47)</f>
        <v>0</v>
      </c>
      <c r="P48" s="49">
        <f t="shared" si="4"/>
        <v>7699</v>
      </c>
      <c r="Q48" s="43">
        <f t="shared" si="2"/>
        <v>0.56025323824770779</v>
      </c>
      <c r="T48" s="12"/>
    </row>
    <row r="49" spans="12:12" ht="14.25" customHeight="1" x14ac:dyDescent="0.25">
      <c r="L49" s="31"/>
    </row>
    <row r="50" spans="12:12" ht="14.25" customHeight="1" x14ac:dyDescent="0.25">
      <c r="L50" s="31"/>
    </row>
    <row r="51" spans="12:12" ht="14.25" customHeight="1" x14ac:dyDescent="0.25"/>
    <row r="52" spans="12:12" ht="14.25" customHeight="1" x14ac:dyDescent="0.25"/>
    <row r="53" spans="12:12" ht="14.25" customHeight="1" x14ac:dyDescent="0.25"/>
    <row r="54" spans="12:12" ht="14.25" customHeight="1" x14ac:dyDescent="0.25"/>
    <row r="55" spans="12:12" ht="14.25" customHeight="1" x14ac:dyDescent="0.25"/>
    <row r="56" spans="12:12" ht="14.25" customHeight="1" x14ac:dyDescent="0.25"/>
    <row r="57" spans="12:12" ht="14.25" customHeight="1" x14ac:dyDescent="0.25"/>
    <row r="58" spans="12:12" ht="14.25" customHeight="1" x14ac:dyDescent="0.25"/>
    <row r="59" spans="12:12" ht="14.25" customHeight="1" x14ac:dyDescent="0.25"/>
    <row r="60" spans="12:12" ht="14.25" customHeight="1" x14ac:dyDescent="0.25"/>
    <row r="61" spans="12:12" ht="14.25" customHeight="1" x14ac:dyDescent="0.25"/>
    <row r="62" spans="12:12" ht="14.25" customHeight="1" x14ac:dyDescent="0.25"/>
    <row r="63" spans="12:12" ht="14.25" customHeight="1" x14ac:dyDescent="0.25"/>
    <row r="64" spans="12:12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3">
    <mergeCell ref="A1:Q1"/>
    <mergeCell ref="A2:Q2"/>
    <mergeCell ref="A4:A5"/>
    <mergeCell ref="B4:B5"/>
    <mergeCell ref="C4:C5"/>
    <mergeCell ref="D4:O4"/>
    <mergeCell ref="P4:P5"/>
    <mergeCell ref="A48:B48"/>
    <mergeCell ref="U7:U9"/>
    <mergeCell ref="U10:U11"/>
    <mergeCell ref="V10:V11"/>
    <mergeCell ref="W10:W11"/>
    <mergeCell ref="X10:X11"/>
    <mergeCell ref="Y10:Y11"/>
    <mergeCell ref="Z10:Z11"/>
    <mergeCell ref="AA10:AA11"/>
    <mergeCell ref="Q4:Q5"/>
    <mergeCell ref="V7:V9"/>
    <mergeCell ref="W7:W9"/>
    <mergeCell ref="X7:X9"/>
    <mergeCell ref="Y7:Y9"/>
    <mergeCell ref="Z7:Z9"/>
    <mergeCell ref="AA7:AA9"/>
  </mergeCells>
  <printOptions horizontalCentered="1" verticalCentered="1"/>
  <pageMargins left="0.70866141732283472" right="0.70866141732283472" top="0.74803149606299213" bottom="0.74803149606299213" header="0" footer="0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  <pageSetUpPr fitToPage="1"/>
  </sheetPr>
  <dimension ref="A1:AA957"/>
  <sheetViews>
    <sheetView topLeftCell="K3" workbookViewId="0">
      <selection activeCell="U6" sqref="U6:AA10"/>
    </sheetView>
  </sheetViews>
  <sheetFormatPr defaultColWidth="14.42578125" defaultRowHeight="15" customHeight="1" x14ac:dyDescent="0.25"/>
  <cols>
    <col min="1" max="1" width="4.140625" customWidth="1"/>
    <col min="2" max="3" width="15.85546875" customWidth="1"/>
    <col min="4" max="4" width="18.5703125" customWidth="1"/>
    <col min="5" max="5" width="13.42578125" customWidth="1"/>
    <col min="6" max="6" width="15.28515625" customWidth="1"/>
    <col min="7" max="15" width="12.85546875" customWidth="1"/>
    <col min="16" max="16" width="11.5703125" customWidth="1"/>
    <col min="17" max="17" width="12.28515625" customWidth="1"/>
    <col min="18" max="18" width="8.7109375" customWidth="1"/>
    <col min="19" max="19" width="9.140625" hidden="1" customWidth="1"/>
    <col min="20" max="20" width="8.7109375" customWidth="1"/>
    <col min="21" max="27" width="20.7109375" customWidth="1"/>
  </cols>
  <sheetData>
    <row r="1" spans="1:27" ht="14.25" customHeight="1" x14ac:dyDescent="0.25">
      <c r="A1" s="92" t="s">
        <v>79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</row>
    <row r="2" spans="1:27" ht="14.25" customHeight="1" x14ac:dyDescent="0.25">
      <c r="A2" s="92" t="s">
        <v>2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</row>
    <row r="3" spans="1:27" ht="14.2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27" ht="14.25" customHeight="1" x14ac:dyDescent="0.25">
      <c r="A4" s="85" t="s">
        <v>3</v>
      </c>
      <c r="B4" s="85" t="s">
        <v>4</v>
      </c>
      <c r="C4" s="94" t="s">
        <v>80</v>
      </c>
      <c r="D4" s="95" t="s">
        <v>6</v>
      </c>
      <c r="E4" s="96"/>
      <c r="F4" s="96"/>
      <c r="G4" s="96"/>
      <c r="H4" s="96"/>
      <c r="I4" s="96"/>
      <c r="J4" s="96"/>
      <c r="K4" s="96"/>
      <c r="L4" s="96"/>
      <c r="M4" s="96"/>
      <c r="N4" s="96"/>
      <c r="O4" s="89"/>
      <c r="P4" s="94" t="s">
        <v>7</v>
      </c>
      <c r="Q4" s="85" t="s">
        <v>8</v>
      </c>
    </row>
    <row r="5" spans="1:27" ht="24" customHeight="1" x14ac:dyDescent="0.25">
      <c r="A5" s="83"/>
      <c r="B5" s="83"/>
      <c r="C5" s="83"/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0</v>
      </c>
      <c r="M5" s="3" t="s">
        <v>17</v>
      </c>
      <c r="N5" s="3" t="s">
        <v>18</v>
      </c>
      <c r="O5" s="3" t="s">
        <v>19</v>
      </c>
      <c r="P5" s="83"/>
      <c r="Q5" s="83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4.25" customHeight="1" x14ac:dyDescent="0.25">
      <c r="A6" s="6">
        <v>1</v>
      </c>
      <c r="B6" s="7" t="s">
        <v>20</v>
      </c>
      <c r="C6" s="26">
        <v>170</v>
      </c>
      <c r="D6" s="51">
        <v>2.7176499999999999</v>
      </c>
      <c r="E6" s="51">
        <v>6.16235</v>
      </c>
      <c r="F6" s="51">
        <v>5.55</v>
      </c>
      <c r="G6" s="51">
        <v>5.55</v>
      </c>
      <c r="H6" s="51">
        <v>5.18</v>
      </c>
      <c r="I6" s="54">
        <v>3.33</v>
      </c>
      <c r="J6" s="54">
        <v>2.59</v>
      </c>
      <c r="K6" s="54">
        <v>2.2200000000000002</v>
      </c>
      <c r="L6" s="54">
        <v>1.1100000000000001</v>
      </c>
      <c r="M6" s="55"/>
      <c r="N6" s="51"/>
      <c r="O6" s="56"/>
      <c r="P6" s="26">
        <f t="shared" ref="P6:P47" si="0">SUM(D6:O6)</f>
        <v>34.410000000000004</v>
      </c>
      <c r="Q6" s="38">
        <f>P6/C6</f>
        <v>0.20241176470588237</v>
      </c>
      <c r="S6" s="57">
        <f t="shared" ref="S6:S47" si="1">IF(Q6&lt;70,C6*2.936/100,0)</f>
        <v>4.9912000000000001</v>
      </c>
      <c r="T6" s="12"/>
      <c r="U6" s="98"/>
      <c r="V6" s="97"/>
      <c r="W6" s="97"/>
      <c r="X6" s="97"/>
      <c r="Y6" s="97"/>
      <c r="Z6" s="97"/>
      <c r="AA6" s="97"/>
    </row>
    <row r="7" spans="1:27" ht="14.25" customHeight="1" x14ac:dyDescent="0.25">
      <c r="A7" s="13">
        <v>2</v>
      </c>
      <c r="B7" s="14" t="s">
        <v>25</v>
      </c>
      <c r="C7" s="28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8">
        <v>0</v>
      </c>
      <c r="J7" s="58">
        <v>0</v>
      </c>
      <c r="K7" s="58">
        <v>0</v>
      </c>
      <c r="L7" s="58">
        <v>0</v>
      </c>
      <c r="M7" s="59"/>
      <c r="N7" s="52"/>
      <c r="O7" s="60"/>
      <c r="P7" s="28">
        <f t="shared" si="0"/>
        <v>0</v>
      </c>
      <c r="Q7" s="40" t="s">
        <v>77</v>
      </c>
      <c r="S7" s="57">
        <f t="shared" si="1"/>
        <v>0</v>
      </c>
      <c r="T7" s="12"/>
      <c r="U7" s="87"/>
      <c r="V7" s="87"/>
      <c r="W7" s="87"/>
      <c r="X7" s="87"/>
      <c r="Y7" s="87"/>
      <c r="Z7" s="87"/>
      <c r="AA7" s="87"/>
    </row>
    <row r="8" spans="1:27" ht="14.25" customHeight="1" x14ac:dyDescent="0.25">
      <c r="A8" s="13">
        <v>3</v>
      </c>
      <c r="B8" s="14" t="s">
        <v>26</v>
      </c>
      <c r="C8" s="28">
        <v>92</v>
      </c>
      <c r="D8" s="52">
        <v>17.995249999999999</v>
      </c>
      <c r="E8" s="52">
        <v>40.804750000000006</v>
      </c>
      <c r="F8" s="52">
        <v>36.75</v>
      </c>
      <c r="G8" s="52">
        <v>36.75</v>
      </c>
      <c r="H8" s="52">
        <v>34.299999999999997</v>
      </c>
      <c r="I8" s="58">
        <v>22.05</v>
      </c>
      <c r="J8" s="58">
        <v>17.149999999999999</v>
      </c>
      <c r="K8" s="58">
        <v>14.7</v>
      </c>
      <c r="L8" s="58">
        <v>7.35</v>
      </c>
      <c r="M8" s="59"/>
      <c r="N8" s="52"/>
      <c r="O8" s="60"/>
      <c r="P8" s="28">
        <f t="shared" si="0"/>
        <v>227.85000000000002</v>
      </c>
      <c r="Q8" s="40">
        <f>P8/C8</f>
        <v>2.4766304347826091</v>
      </c>
      <c r="S8" s="57">
        <f t="shared" si="1"/>
        <v>2.7011199999999995</v>
      </c>
      <c r="T8" s="12"/>
      <c r="U8" s="83"/>
      <c r="V8" s="83"/>
      <c r="W8" s="83"/>
      <c r="X8" s="83"/>
      <c r="Y8" s="83"/>
      <c r="Z8" s="83"/>
      <c r="AA8" s="83"/>
    </row>
    <row r="9" spans="1:27" ht="14.25" customHeight="1" x14ac:dyDescent="0.25">
      <c r="A9" s="13">
        <v>4</v>
      </c>
      <c r="B9" s="14" t="s">
        <v>27</v>
      </c>
      <c r="C9" s="28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8">
        <v>0</v>
      </c>
      <c r="J9" s="58">
        <v>0</v>
      </c>
      <c r="K9" s="58">
        <v>0</v>
      </c>
      <c r="L9" s="58">
        <v>0</v>
      </c>
      <c r="M9" s="59"/>
      <c r="N9" s="52"/>
      <c r="O9" s="60"/>
      <c r="P9" s="28">
        <f t="shared" si="0"/>
        <v>0</v>
      </c>
      <c r="Q9" s="40" t="s">
        <v>77</v>
      </c>
      <c r="S9" s="57">
        <f t="shared" si="1"/>
        <v>0</v>
      </c>
      <c r="T9" s="12"/>
      <c r="U9" s="91"/>
      <c r="V9" s="84"/>
      <c r="W9" s="84"/>
      <c r="X9" s="82"/>
      <c r="Y9" s="84"/>
      <c r="Z9" s="84"/>
      <c r="AA9" s="82"/>
    </row>
    <row r="10" spans="1:27" ht="14.25" customHeight="1" x14ac:dyDescent="0.25">
      <c r="A10" s="13">
        <v>5</v>
      </c>
      <c r="B10" s="14" t="s">
        <v>28</v>
      </c>
      <c r="C10" s="28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8">
        <v>0</v>
      </c>
      <c r="J10" s="58">
        <v>0</v>
      </c>
      <c r="K10" s="58">
        <v>0</v>
      </c>
      <c r="L10" s="58">
        <v>0</v>
      </c>
      <c r="M10" s="59"/>
      <c r="N10" s="52"/>
      <c r="O10" s="60"/>
      <c r="P10" s="28">
        <f t="shared" si="0"/>
        <v>0</v>
      </c>
      <c r="Q10" s="40" t="s">
        <v>77</v>
      </c>
      <c r="S10" s="57">
        <f t="shared" si="1"/>
        <v>0</v>
      </c>
      <c r="T10" s="12"/>
      <c r="U10" s="83"/>
      <c r="V10" s="83"/>
      <c r="W10" s="83"/>
      <c r="X10" s="83"/>
      <c r="Y10" s="83"/>
      <c r="Z10" s="83"/>
      <c r="AA10" s="83"/>
    </row>
    <row r="11" spans="1:27" ht="14.25" customHeight="1" x14ac:dyDescent="0.25">
      <c r="A11" s="13">
        <v>6</v>
      </c>
      <c r="B11" s="14" t="s">
        <v>29</v>
      </c>
      <c r="C11" s="28">
        <v>192</v>
      </c>
      <c r="D11" s="52">
        <v>14.873625000000001</v>
      </c>
      <c r="E11" s="52">
        <v>33.726375000000004</v>
      </c>
      <c r="F11" s="52">
        <v>30.375</v>
      </c>
      <c r="G11" s="52">
        <v>30.375</v>
      </c>
      <c r="H11" s="52">
        <v>28.35</v>
      </c>
      <c r="I11" s="58">
        <v>18.225000000000001</v>
      </c>
      <c r="J11" s="58">
        <v>14.175000000000001</v>
      </c>
      <c r="K11" s="58">
        <v>12.15</v>
      </c>
      <c r="L11" s="58">
        <v>6.0750000000000002</v>
      </c>
      <c r="M11" s="59"/>
      <c r="N11" s="52"/>
      <c r="O11" s="60"/>
      <c r="P11" s="28">
        <f t="shared" si="0"/>
        <v>188.32500000000002</v>
      </c>
      <c r="Q11" s="40">
        <f t="shared" ref="Q11:Q12" si="2">P11/C11</f>
        <v>0.98085937500000009</v>
      </c>
      <c r="S11" s="57">
        <f t="shared" si="1"/>
        <v>5.6371199999999995</v>
      </c>
      <c r="T11" s="12"/>
    </row>
    <row r="12" spans="1:27" ht="14.25" customHeight="1" x14ac:dyDescent="0.25">
      <c r="A12" s="13">
        <v>7</v>
      </c>
      <c r="B12" s="14" t="s">
        <v>30</v>
      </c>
      <c r="C12" s="28">
        <v>188</v>
      </c>
      <c r="D12" s="52">
        <v>22.916399999999999</v>
      </c>
      <c r="E12" s="52">
        <v>51.963600000000007</v>
      </c>
      <c r="F12" s="52">
        <v>46.8</v>
      </c>
      <c r="G12" s="52">
        <v>46.8</v>
      </c>
      <c r="H12" s="52">
        <v>43.68</v>
      </c>
      <c r="I12" s="58">
        <v>28.08</v>
      </c>
      <c r="J12" s="58">
        <v>21.84</v>
      </c>
      <c r="K12" s="58">
        <v>18.72</v>
      </c>
      <c r="L12" s="58">
        <v>9.36</v>
      </c>
      <c r="M12" s="59"/>
      <c r="N12" s="52"/>
      <c r="O12" s="60"/>
      <c r="P12" s="28">
        <f t="shared" si="0"/>
        <v>290.15999999999997</v>
      </c>
      <c r="Q12" s="40">
        <f t="shared" si="2"/>
        <v>1.5434042553191487</v>
      </c>
      <c r="S12" s="57">
        <f t="shared" si="1"/>
        <v>5.5196799999999993</v>
      </c>
      <c r="T12" s="12"/>
      <c r="V12" s="12"/>
      <c r="W12" s="12"/>
      <c r="X12" s="12"/>
      <c r="Y12" s="12"/>
      <c r="Z12" s="12"/>
      <c r="AA12" s="12"/>
    </row>
    <row r="13" spans="1:27" ht="14.25" customHeight="1" x14ac:dyDescent="0.25">
      <c r="A13" s="13">
        <v>8</v>
      </c>
      <c r="B13" s="14" t="s">
        <v>31</v>
      </c>
      <c r="C13" s="28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8">
        <v>0</v>
      </c>
      <c r="J13" s="58">
        <v>0</v>
      </c>
      <c r="K13" s="58">
        <v>0</v>
      </c>
      <c r="L13" s="58">
        <v>0</v>
      </c>
      <c r="M13" s="59"/>
      <c r="N13" s="52"/>
      <c r="O13" s="60"/>
      <c r="P13" s="28">
        <f t="shared" si="0"/>
        <v>0</v>
      </c>
      <c r="Q13" s="40" t="s">
        <v>77</v>
      </c>
      <c r="S13" s="57">
        <f t="shared" si="1"/>
        <v>0</v>
      </c>
      <c r="T13" s="12"/>
    </row>
    <row r="14" spans="1:27" ht="14.25" customHeight="1" x14ac:dyDescent="0.25">
      <c r="A14" s="13">
        <v>9</v>
      </c>
      <c r="B14" s="14" t="s">
        <v>32</v>
      </c>
      <c r="C14" s="28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8">
        <v>0</v>
      </c>
      <c r="J14" s="58">
        <v>0</v>
      </c>
      <c r="K14" s="58">
        <v>0</v>
      </c>
      <c r="L14" s="58">
        <v>0</v>
      </c>
      <c r="M14" s="59"/>
      <c r="N14" s="52"/>
      <c r="O14" s="60"/>
      <c r="P14" s="28">
        <f t="shared" si="0"/>
        <v>0</v>
      </c>
      <c r="Q14" s="40" t="s">
        <v>77</v>
      </c>
      <c r="S14" s="57">
        <f t="shared" si="1"/>
        <v>0</v>
      </c>
      <c r="T14" s="12"/>
    </row>
    <row r="15" spans="1:27" ht="14.25" customHeight="1" x14ac:dyDescent="0.25">
      <c r="A15" s="13">
        <v>10</v>
      </c>
      <c r="B15" s="14" t="s">
        <v>33</v>
      </c>
      <c r="C15" s="28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8">
        <v>0</v>
      </c>
      <c r="J15" s="58">
        <v>0</v>
      </c>
      <c r="K15" s="58">
        <v>0</v>
      </c>
      <c r="L15" s="58">
        <v>0</v>
      </c>
      <c r="M15" s="59"/>
      <c r="N15" s="52"/>
      <c r="O15" s="60"/>
      <c r="P15" s="28">
        <f t="shared" si="0"/>
        <v>0</v>
      </c>
      <c r="Q15" s="40" t="s">
        <v>77</v>
      </c>
      <c r="S15" s="57">
        <f t="shared" si="1"/>
        <v>0</v>
      </c>
      <c r="T15" s="12"/>
    </row>
    <row r="16" spans="1:27" ht="14.25" customHeight="1" x14ac:dyDescent="0.25">
      <c r="A16" s="13">
        <v>11</v>
      </c>
      <c r="B16" s="14" t="s">
        <v>34</v>
      </c>
      <c r="C16" s="28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8">
        <v>0</v>
      </c>
      <c r="J16" s="58">
        <v>0</v>
      </c>
      <c r="K16" s="58">
        <v>0</v>
      </c>
      <c r="L16" s="58">
        <v>0</v>
      </c>
      <c r="M16" s="59"/>
      <c r="N16" s="52"/>
      <c r="O16" s="60"/>
      <c r="P16" s="28">
        <f t="shared" si="0"/>
        <v>0</v>
      </c>
      <c r="Q16" s="40" t="s">
        <v>77</v>
      </c>
      <c r="S16" s="57">
        <f t="shared" si="1"/>
        <v>0</v>
      </c>
      <c r="T16" s="12"/>
    </row>
    <row r="17" spans="1:20" ht="14.25" customHeight="1" x14ac:dyDescent="0.25">
      <c r="A17" s="13">
        <v>12</v>
      </c>
      <c r="B17" s="14" t="s">
        <v>35</v>
      </c>
      <c r="C17" s="28">
        <v>912</v>
      </c>
      <c r="D17" s="52">
        <v>92.620450000000005</v>
      </c>
      <c r="E17" s="52">
        <v>210.01955000000001</v>
      </c>
      <c r="F17" s="52">
        <v>189.15</v>
      </c>
      <c r="G17" s="52">
        <v>189.15</v>
      </c>
      <c r="H17" s="52">
        <v>176.54</v>
      </c>
      <c r="I17" s="58">
        <v>113.49</v>
      </c>
      <c r="J17" s="58">
        <v>88.27</v>
      </c>
      <c r="K17" s="58">
        <v>75.66</v>
      </c>
      <c r="L17" s="58">
        <v>37.83</v>
      </c>
      <c r="M17" s="59"/>
      <c r="N17" s="52"/>
      <c r="O17" s="60"/>
      <c r="P17" s="28">
        <f t="shared" si="0"/>
        <v>1172.73</v>
      </c>
      <c r="Q17" s="40">
        <f t="shared" ref="Q17:Q22" si="3">P17/C17</f>
        <v>1.2858881578947368</v>
      </c>
      <c r="S17" s="57">
        <f t="shared" si="1"/>
        <v>26.776320000000002</v>
      </c>
      <c r="T17" s="12"/>
    </row>
    <row r="18" spans="1:20" ht="14.25" customHeight="1" x14ac:dyDescent="0.25">
      <c r="A18" s="13">
        <v>13</v>
      </c>
      <c r="B18" s="14" t="s">
        <v>36</v>
      </c>
      <c r="C18" s="28">
        <v>22</v>
      </c>
      <c r="D18" s="52">
        <v>0.386347</v>
      </c>
      <c r="E18" s="52">
        <v>0.87605299999999997</v>
      </c>
      <c r="F18" s="52">
        <v>0.78899999999999992</v>
      </c>
      <c r="G18" s="52">
        <v>0.78899999999999992</v>
      </c>
      <c r="H18" s="52">
        <v>0.73640000000000005</v>
      </c>
      <c r="I18" s="58">
        <v>0.47339999999999999</v>
      </c>
      <c r="J18" s="58">
        <v>0.36820000000000003</v>
      </c>
      <c r="K18" s="58">
        <v>0.31559999999999999</v>
      </c>
      <c r="L18" s="58">
        <v>0.1578</v>
      </c>
      <c r="M18" s="59"/>
      <c r="N18" s="52"/>
      <c r="O18" s="60"/>
      <c r="P18" s="28">
        <f t="shared" si="0"/>
        <v>4.8917999999999999</v>
      </c>
      <c r="Q18" s="40">
        <f t="shared" si="3"/>
        <v>0.22235454545454544</v>
      </c>
      <c r="S18" s="57">
        <f t="shared" si="1"/>
        <v>0.64591999999999994</v>
      </c>
      <c r="T18" s="12"/>
    </row>
    <row r="19" spans="1:20" ht="14.25" customHeight="1" x14ac:dyDescent="0.25">
      <c r="A19" s="13">
        <v>14</v>
      </c>
      <c r="B19" s="14" t="s">
        <v>37</v>
      </c>
      <c r="C19" s="28">
        <v>201</v>
      </c>
      <c r="D19" s="52">
        <v>13.147550000000001</v>
      </c>
      <c r="E19" s="52">
        <v>29.812450000000002</v>
      </c>
      <c r="F19" s="52">
        <v>26.85</v>
      </c>
      <c r="G19" s="52">
        <v>26.85</v>
      </c>
      <c r="H19" s="52">
        <v>25.06</v>
      </c>
      <c r="I19" s="58">
        <v>16.11</v>
      </c>
      <c r="J19" s="58">
        <v>12.53</v>
      </c>
      <c r="K19" s="58">
        <v>10.74</v>
      </c>
      <c r="L19" s="58">
        <v>5.37</v>
      </c>
      <c r="M19" s="59"/>
      <c r="N19" s="52"/>
      <c r="O19" s="60"/>
      <c r="P19" s="28">
        <f t="shared" si="0"/>
        <v>166.47</v>
      </c>
      <c r="Q19" s="40">
        <f t="shared" si="3"/>
        <v>0.82820895522388061</v>
      </c>
      <c r="S19" s="57">
        <f t="shared" si="1"/>
        <v>5.9013599999999995</v>
      </c>
      <c r="T19" s="12"/>
    </row>
    <row r="20" spans="1:20" ht="14.25" customHeight="1" x14ac:dyDescent="0.25">
      <c r="A20" s="13">
        <v>15</v>
      </c>
      <c r="B20" s="14" t="s">
        <v>38</v>
      </c>
      <c r="C20" s="28">
        <v>611</v>
      </c>
      <c r="D20" s="52">
        <v>4.3592575</v>
      </c>
      <c r="E20" s="52">
        <v>9.8847425000000015</v>
      </c>
      <c r="F20" s="52">
        <v>8.9024999999999999</v>
      </c>
      <c r="G20" s="52">
        <v>8.9024999999999999</v>
      </c>
      <c r="H20" s="52">
        <v>8.3089999999999993</v>
      </c>
      <c r="I20" s="58">
        <v>5.3414999999999999</v>
      </c>
      <c r="J20" s="58">
        <v>4.1544999999999996</v>
      </c>
      <c r="K20" s="58">
        <v>3.5610000000000004</v>
      </c>
      <c r="L20" s="58">
        <v>1.7805000000000002</v>
      </c>
      <c r="M20" s="59"/>
      <c r="N20" s="52"/>
      <c r="O20" s="60"/>
      <c r="P20" s="28">
        <f t="shared" si="0"/>
        <v>55.195500000000003</v>
      </c>
      <c r="Q20" s="40">
        <f t="shared" si="3"/>
        <v>9.0336333878887079E-2</v>
      </c>
      <c r="S20" s="57">
        <f t="shared" si="1"/>
        <v>17.938959999999998</v>
      </c>
      <c r="T20" s="12"/>
    </row>
    <row r="21" spans="1:20" ht="14.25" customHeight="1" x14ac:dyDescent="0.25">
      <c r="A21" s="13">
        <v>16</v>
      </c>
      <c r="B21" s="14" t="s">
        <v>39</v>
      </c>
      <c r="C21" s="28">
        <v>384</v>
      </c>
      <c r="D21" s="52">
        <v>11.6051</v>
      </c>
      <c r="E21" s="52">
        <v>26.314900000000002</v>
      </c>
      <c r="F21" s="52">
        <v>23.7</v>
      </c>
      <c r="G21" s="52">
        <v>23.7</v>
      </c>
      <c r="H21" s="52">
        <v>22.12</v>
      </c>
      <c r="I21" s="58">
        <v>14.22</v>
      </c>
      <c r="J21" s="58">
        <v>11.06</v>
      </c>
      <c r="K21" s="58">
        <v>9.48</v>
      </c>
      <c r="L21" s="58">
        <v>4.74</v>
      </c>
      <c r="M21" s="59"/>
      <c r="N21" s="52"/>
      <c r="O21" s="60"/>
      <c r="P21" s="28">
        <f t="shared" si="0"/>
        <v>146.94</v>
      </c>
      <c r="Q21" s="40">
        <f t="shared" si="3"/>
        <v>0.38265624999999998</v>
      </c>
      <c r="S21" s="57">
        <f t="shared" si="1"/>
        <v>11.274239999999999</v>
      </c>
      <c r="T21" s="12"/>
    </row>
    <row r="22" spans="1:20" ht="14.25" customHeight="1" x14ac:dyDescent="0.25">
      <c r="A22" s="13">
        <v>17</v>
      </c>
      <c r="B22" s="14" t="s">
        <v>40</v>
      </c>
      <c r="C22" s="28">
        <v>109</v>
      </c>
      <c r="D22" s="52">
        <v>4.5186440000000001</v>
      </c>
      <c r="E22" s="52">
        <v>10.246156000000001</v>
      </c>
      <c r="F22" s="52">
        <v>9.2280000000000015</v>
      </c>
      <c r="G22" s="52">
        <v>9.2280000000000015</v>
      </c>
      <c r="H22" s="52">
        <v>8.6128</v>
      </c>
      <c r="I22" s="58">
        <v>5.5368000000000004</v>
      </c>
      <c r="J22" s="58">
        <v>4.3064</v>
      </c>
      <c r="K22" s="58">
        <v>3.6912000000000003</v>
      </c>
      <c r="L22" s="58">
        <v>1.8456000000000001</v>
      </c>
      <c r="M22" s="59"/>
      <c r="N22" s="52"/>
      <c r="O22" s="60"/>
      <c r="P22" s="28">
        <f t="shared" si="0"/>
        <v>57.2136</v>
      </c>
      <c r="Q22" s="40">
        <f t="shared" si="3"/>
        <v>0.52489541284403674</v>
      </c>
      <c r="S22" s="57">
        <f t="shared" si="1"/>
        <v>3.20024</v>
      </c>
      <c r="T22" s="12"/>
    </row>
    <row r="23" spans="1:20" ht="14.25" customHeight="1" x14ac:dyDescent="0.25">
      <c r="A23" s="13">
        <v>18</v>
      </c>
      <c r="B23" s="14" t="s">
        <v>41</v>
      </c>
      <c r="C23" s="28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8">
        <v>0</v>
      </c>
      <c r="J23" s="58">
        <v>0</v>
      </c>
      <c r="K23" s="58">
        <v>0</v>
      </c>
      <c r="L23" s="58">
        <v>0</v>
      </c>
      <c r="M23" s="59"/>
      <c r="N23" s="52"/>
      <c r="O23" s="60"/>
      <c r="P23" s="28">
        <f t="shared" si="0"/>
        <v>0</v>
      </c>
      <c r="Q23" s="40" t="s">
        <v>77</v>
      </c>
      <c r="S23" s="57">
        <f t="shared" si="1"/>
        <v>0</v>
      </c>
      <c r="T23" s="12"/>
    </row>
    <row r="24" spans="1:20" ht="14.25" customHeight="1" x14ac:dyDescent="0.25">
      <c r="A24" s="13">
        <v>19</v>
      </c>
      <c r="B24" s="14" t="s">
        <v>42</v>
      </c>
      <c r="C24" s="28">
        <v>127</v>
      </c>
      <c r="D24" s="52">
        <v>5.3618500000000004</v>
      </c>
      <c r="E24" s="52">
        <v>12.158150000000001</v>
      </c>
      <c r="F24" s="52">
        <v>10.95</v>
      </c>
      <c r="G24" s="52">
        <v>10.95</v>
      </c>
      <c r="H24" s="52">
        <v>10.220000000000001</v>
      </c>
      <c r="I24" s="58">
        <v>6.57</v>
      </c>
      <c r="J24" s="58">
        <v>5.1100000000000003</v>
      </c>
      <c r="K24" s="58">
        <v>4.38</v>
      </c>
      <c r="L24" s="58">
        <v>2.19</v>
      </c>
      <c r="M24" s="59"/>
      <c r="N24" s="52"/>
      <c r="O24" s="60"/>
      <c r="P24" s="28">
        <f t="shared" si="0"/>
        <v>67.89</v>
      </c>
      <c r="Q24" s="40">
        <f t="shared" ref="Q24:Q25" si="4">P24/C24</f>
        <v>0.53456692913385828</v>
      </c>
      <c r="S24" s="57">
        <f t="shared" si="1"/>
        <v>3.72872</v>
      </c>
      <c r="T24" s="12"/>
    </row>
    <row r="25" spans="1:20" ht="14.25" customHeight="1" x14ac:dyDescent="0.25">
      <c r="A25" s="13">
        <v>20</v>
      </c>
      <c r="B25" s="14" t="s">
        <v>43</v>
      </c>
      <c r="C25" s="28">
        <v>240</v>
      </c>
      <c r="D25" s="52">
        <v>15.05725</v>
      </c>
      <c r="E25" s="52">
        <v>34.142749999999999</v>
      </c>
      <c r="F25" s="52">
        <v>30.75</v>
      </c>
      <c r="G25" s="52">
        <v>30.75</v>
      </c>
      <c r="H25" s="52">
        <v>28.7</v>
      </c>
      <c r="I25" s="58">
        <v>18.45</v>
      </c>
      <c r="J25" s="58">
        <v>14.35</v>
      </c>
      <c r="K25" s="58">
        <v>12.3</v>
      </c>
      <c r="L25" s="58">
        <v>6.15</v>
      </c>
      <c r="M25" s="59"/>
      <c r="N25" s="52"/>
      <c r="O25" s="60"/>
      <c r="P25" s="28">
        <f t="shared" si="0"/>
        <v>190.65</v>
      </c>
      <c r="Q25" s="40">
        <f t="shared" si="4"/>
        <v>0.79437500000000005</v>
      </c>
      <c r="S25" s="57">
        <f t="shared" si="1"/>
        <v>7.0464000000000002</v>
      </c>
      <c r="T25" s="12"/>
    </row>
    <row r="26" spans="1:20" ht="14.25" customHeight="1" x14ac:dyDescent="0.25">
      <c r="A26" s="13">
        <v>21</v>
      </c>
      <c r="B26" s="14" t="s">
        <v>44</v>
      </c>
      <c r="C26" s="28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8">
        <v>0</v>
      </c>
      <c r="J26" s="58">
        <v>0</v>
      </c>
      <c r="K26" s="58">
        <v>0</v>
      </c>
      <c r="L26" s="58">
        <v>0</v>
      </c>
      <c r="M26" s="59"/>
      <c r="N26" s="52"/>
      <c r="O26" s="60"/>
      <c r="P26" s="28">
        <f t="shared" si="0"/>
        <v>0</v>
      </c>
      <c r="Q26" s="40" t="s">
        <v>77</v>
      </c>
      <c r="S26" s="57">
        <f t="shared" si="1"/>
        <v>0</v>
      </c>
      <c r="T26" s="12"/>
    </row>
    <row r="27" spans="1:20" ht="14.25" customHeight="1" x14ac:dyDescent="0.25">
      <c r="A27" s="13">
        <v>22</v>
      </c>
      <c r="B27" s="14" t="s">
        <v>45</v>
      </c>
      <c r="C27" s="28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8">
        <v>0</v>
      </c>
      <c r="J27" s="58">
        <v>0</v>
      </c>
      <c r="K27" s="58">
        <v>0</v>
      </c>
      <c r="L27" s="58">
        <v>0</v>
      </c>
      <c r="M27" s="59"/>
      <c r="N27" s="52"/>
      <c r="O27" s="60"/>
      <c r="P27" s="28">
        <f t="shared" si="0"/>
        <v>0</v>
      </c>
      <c r="Q27" s="40" t="s">
        <v>77</v>
      </c>
      <c r="S27" s="57">
        <f t="shared" si="1"/>
        <v>0</v>
      </c>
      <c r="T27" s="12"/>
    </row>
    <row r="28" spans="1:20" ht="14.25" customHeight="1" x14ac:dyDescent="0.25">
      <c r="A28" s="13">
        <v>23</v>
      </c>
      <c r="B28" s="14" t="s">
        <v>46</v>
      </c>
      <c r="C28" s="28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8">
        <v>0</v>
      </c>
      <c r="J28" s="58">
        <v>0</v>
      </c>
      <c r="K28" s="58">
        <v>0</v>
      </c>
      <c r="L28" s="58">
        <v>0</v>
      </c>
      <c r="M28" s="59"/>
      <c r="N28" s="52"/>
      <c r="O28" s="60"/>
      <c r="P28" s="28">
        <f t="shared" si="0"/>
        <v>0</v>
      </c>
      <c r="Q28" s="40" t="s">
        <v>77</v>
      </c>
      <c r="S28" s="57">
        <f t="shared" si="1"/>
        <v>0</v>
      </c>
      <c r="T28" s="12"/>
    </row>
    <row r="29" spans="1:20" ht="14.25" customHeight="1" x14ac:dyDescent="0.25">
      <c r="A29" s="13">
        <v>24</v>
      </c>
      <c r="B29" s="14" t="s">
        <v>47</v>
      </c>
      <c r="C29" s="28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8">
        <v>0</v>
      </c>
      <c r="J29" s="58">
        <v>0</v>
      </c>
      <c r="K29" s="58">
        <v>0</v>
      </c>
      <c r="L29" s="58">
        <v>0</v>
      </c>
      <c r="M29" s="59"/>
      <c r="N29" s="52"/>
      <c r="O29" s="60"/>
      <c r="P29" s="28">
        <f t="shared" si="0"/>
        <v>0</v>
      </c>
      <c r="Q29" s="40" t="s">
        <v>77</v>
      </c>
      <c r="S29" s="57">
        <f t="shared" si="1"/>
        <v>0</v>
      </c>
      <c r="T29" s="12"/>
    </row>
    <row r="30" spans="1:20" ht="14.25" customHeight="1" x14ac:dyDescent="0.25">
      <c r="A30" s="13">
        <v>25</v>
      </c>
      <c r="B30" s="14" t="s">
        <v>48</v>
      </c>
      <c r="C30" s="28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8">
        <v>0</v>
      </c>
      <c r="J30" s="58">
        <v>0</v>
      </c>
      <c r="K30" s="58">
        <v>0</v>
      </c>
      <c r="L30" s="58">
        <v>0</v>
      </c>
      <c r="M30" s="59"/>
      <c r="N30" s="52"/>
      <c r="O30" s="60"/>
      <c r="P30" s="28">
        <f t="shared" si="0"/>
        <v>0</v>
      </c>
      <c r="Q30" s="40" t="s">
        <v>77</v>
      </c>
      <c r="S30" s="57">
        <f t="shared" si="1"/>
        <v>0</v>
      </c>
      <c r="T30" s="12"/>
    </row>
    <row r="31" spans="1:20" ht="14.25" customHeight="1" x14ac:dyDescent="0.25">
      <c r="A31" s="13">
        <v>26</v>
      </c>
      <c r="B31" s="14" t="s">
        <v>49</v>
      </c>
      <c r="C31" s="28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8">
        <v>0</v>
      </c>
      <c r="J31" s="58">
        <v>0</v>
      </c>
      <c r="K31" s="58">
        <v>0</v>
      </c>
      <c r="L31" s="58">
        <v>0</v>
      </c>
      <c r="M31" s="59"/>
      <c r="N31" s="52"/>
      <c r="O31" s="60"/>
      <c r="P31" s="28">
        <f t="shared" si="0"/>
        <v>0</v>
      </c>
      <c r="Q31" s="40" t="s">
        <v>77</v>
      </c>
      <c r="S31" s="57">
        <f t="shared" si="1"/>
        <v>0</v>
      </c>
      <c r="T31" s="12"/>
    </row>
    <row r="32" spans="1:20" ht="14.25" customHeight="1" x14ac:dyDescent="0.25">
      <c r="A32" s="13">
        <v>27</v>
      </c>
      <c r="B32" s="14" t="s">
        <v>50</v>
      </c>
      <c r="C32" s="28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8">
        <v>0</v>
      </c>
      <c r="J32" s="58">
        <v>0</v>
      </c>
      <c r="K32" s="58">
        <v>0</v>
      </c>
      <c r="L32" s="58">
        <v>0</v>
      </c>
      <c r="M32" s="59"/>
      <c r="N32" s="52"/>
      <c r="O32" s="60"/>
      <c r="P32" s="28">
        <f t="shared" si="0"/>
        <v>0</v>
      </c>
      <c r="Q32" s="40" t="s">
        <v>77</v>
      </c>
      <c r="S32" s="57">
        <f t="shared" si="1"/>
        <v>0</v>
      </c>
      <c r="T32" s="12"/>
    </row>
    <row r="33" spans="1:20" ht="14.25" customHeight="1" x14ac:dyDescent="0.25">
      <c r="A33" s="13">
        <v>28</v>
      </c>
      <c r="B33" s="14" t="s">
        <v>51</v>
      </c>
      <c r="C33" s="28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8">
        <v>0</v>
      </c>
      <c r="J33" s="58">
        <v>0</v>
      </c>
      <c r="K33" s="58">
        <v>0</v>
      </c>
      <c r="L33" s="58">
        <v>0</v>
      </c>
      <c r="M33" s="59"/>
      <c r="N33" s="52"/>
      <c r="O33" s="60"/>
      <c r="P33" s="28">
        <f t="shared" si="0"/>
        <v>0</v>
      </c>
      <c r="Q33" s="40" t="s">
        <v>77</v>
      </c>
      <c r="S33" s="57">
        <f t="shared" si="1"/>
        <v>0</v>
      </c>
      <c r="T33" s="12"/>
    </row>
    <row r="34" spans="1:20" ht="14.25" customHeight="1" x14ac:dyDescent="0.25">
      <c r="A34" s="13">
        <v>29</v>
      </c>
      <c r="B34" s="14" t="s">
        <v>52</v>
      </c>
      <c r="C34" s="28">
        <v>0</v>
      </c>
      <c r="D34" s="52">
        <v>0</v>
      </c>
      <c r="E34" s="52">
        <v>0</v>
      </c>
      <c r="F34" s="52">
        <v>0</v>
      </c>
      <c r="G34" s="52">
        <v>0</v>
      </c>
      <c r="H34" s="52">
        <v>0</v>
      </c>
      <c r="I34" s="58">
        <v>0</v>
      </c>
      <c r="J34" s="58">
        <v>0</v>
      </c>
      <c r="K34" s="58">
        <v>0</v>
      </c>
      <c r="L34" s="58">
        <v>0</v>
      </c>
      <c r="M34" s="59"/>
      <c r="N34" s="52"/>
      <c r="O34" s="60"/>
      <c r="P34" s="28">
        <f t="shared" si="0"/>
        <v>0</v>
      </c>
      <c r="Q34" s="40" t="s">
        <v>77</v>
      </c>
      <c r="S34" s="57">
        <f t="shared" si="1"/>
        <v>0</v>
      </c>
      <c r="T34" s="12"/>
    </row>
    <row r="35" spans="1:20" ht="14.25" customHeight="1" x14ac:dyDescent="0.25">
      <c r="A35" s="13">
        <v>30</v>
      </c>
      <c r="B35" s="14" t="s">
        <v>53</v>
      </c>
      <c r="C35" s="28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8">
        <v>0</v>
      </c>
      <c r="J35" s="58">
        <v>0</v>
      </c>
      <c r="K35" s="58">
        <v>0</v>
      </c>
      <c r="L35" s="58">
        <v>0</v>
      </c>
      <c r="M35" s="59"/>
      <c r="N35" s="52"/>
      <c r="O35" s="60"/>
      <c r="P35" s="28">
        <f t="shared" si="0"/>
        <v>0</v>
      </c>
      <c r="Q35" s="40" t="s">
        <v>77</v>
      </c>
      <c r="S35" s="57">
        <f t="shared" si="1"/>
        <v>0</v>
      </c>
      <c r="T35" s="12"/>
    </row>
    <row r="36" spans="1:20" ht="14.25" customHeight="1" x14ac:dyDescent="0.25">
      <c r="A36" s="13">
        <v>31</v>
      </c>
      <c r="B36" s="14" t="s">
        <v>54</v>
      </c>
      <c r="C36" s="28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8">
        <v>0</v>
      </c>
      <c r="J36" s="58">
        <v>0</v>
      </c>
      <c r="K36" s="58">
        <v>0</v>
      </c>
      <c r="L36" s="58">
        <v>0</v>
      </c>
      <c r="M36" s="59"/>
      <c r="N36" s="52"/>
      <c r="O36" s="60"/>
      <c r="P36" s="28">
        <f t="shared" si="0"/>
        <v>0</v>
      </c>
      <c r="Q36" s="40" t="s">
        <v>77</v>
      </c>
      <c r="S36" s="57">
        <f t="shared" si="1"/>
        <v>0</v>
      </c>
      <c r="T36" s="12"/>
    </row>
    <row r="37" spans="1:20" ht="14.25" customHeight="1" x14ac:dyDescent="0.25">
      <c r="A37" s="13">
        <v>32</v>
      </c>
      <c r="B37" s="14" t="s">
        <v>55</v>
      </c>
      <c r="C37" s="28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8">
        <v>0</v>
      </c>
      <c r="J37" s="58">
        <v>0</v>
      </c>
      <c r="K37" s="58">
        <v>0</v>
      </c>
      <c r="L37" s="58">
        <v>0</v>
      </c>
      <c r="M37" s="59"/>
      <c r="N37" s="52"/>
      <c r="O37" s="60"/>
      <c r="P37" s="28">
        <f t="shared" si="0"/>
        <v>0</v>
      </c>
      <c r="Q37" s="40" t="s">
        <v>77</v>
      </c>
      <c r="S37" s="57">
        <f t="shared" si="1"/>
        <v>0</v>
      </c>
      <c r="T37" s="12"/>
    </row>
    <row r="38" spans="1:20" ht="14.25" customHeight="1" x14ac:dyDescent="0.25">
      <c r="A38" s="13">
        <v>33</v>
      </c>
      <c r="B38" s="14" t="s">
        <v>56</v>
      </c>
      <c r="C38" s="28">
        <v>0</v>
      </c>
      <c r="D38" s="52">
        <v>0</v>
      </c>
      <c r="E38" s="52">
        <v>0</v>
      </c>
      <c r="F38" s="52">
        <v>0</v>
      </c>
      <c r="G38" s="52">
        <v>0</v>
      </c>
      <c r="H38" s="52">
        <v>0</v>
      </c>
      <c r="I38" s="58">
        <v>0</v>
      </c>
      <c r="J38" s="58">
        <v>0</v>
      </c>
      <c r="K38" s="58">
        <v>0</v>
      </c>
      <c r="L38" s="58">
        <v>0</v>
      </c>
      <c r="M38" s="59"/>
      <c r="N38" s="52"/>
      <c r="O38" s="60"/>
      <c r="P38" s="28">
        <f t="shared" si="0"/>
        <v>0</v>
      </c>
      <c r="Q38" s="40" t="s">
        <v>77</v>
      </c>
      <c r="S38" s="57">
        <f t="shared" si="1"/>
        <v>0</v>
      </c>
      <c r="T38" s="12"/>
    </row>
    <row r="39" spans="1:20" ht="14.25" customHeight="1" x14ac:dyDescent="0.25">
      <c r="A39" s="13">
        <v>34</v>
      </c>
      <c r="B39" s="14" t="s">
        <v>57</v>
      </c>
      <c r="C39" s="28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8">
        <v>0</v>
      </c>
      <c r="J39" s="58">
        <v>0</v>
      </c>
      <c r="K39" s="58">
        <v>0</v>
      </c>
      <c r="L39" s="58">
        <v>0</v>
      </c>
      <c r="M39" s="59"/>
      <c r="N39" s="52"/>
      <c r="O39" s="60"/>
      <c r="P39" s="28">
        <f t="shared" si="0"/>
        <v>0</v>
      </c>
      <c r="Q39" s="40" t="s">
        <v>77</v>
      </c>
      <c r="S39" s="57">
        <f t="shared" si="1"/>
        <v>0</v>
      </c>
      <c r="T39" s="12"/>
    </row>
    <row r="40" spans="1:20" ht="14.25" customHeight="1" x14ac:dyDescent="0.25">
      <c r="A40" s="13">
        <v>35</v>
      </c>
      <c r="B40" s="14" t="s">
        <v>58</v>
      </c>
      <c r="C40" s="28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8">
        <v>0</v>
      </c>
      <c r="J40" s="58">
        <v>0</v>
      </c>
      <c r="K40" s="58">
        <v>0</v>
      </c>
      <c r="L40" s="58">
        <v>0</v>
      </c>
      <c r="M40" s="59"/>
      <c r="N40" s="52"/>
      <c r="O40" s="60"/>
      <c r="P40" s="28">
        <f t="shared" si="0"/>
        <v>0</v>
      </c>
      <c r="Q40" s="40" t="s">
        <v>77</v>
      </c>
      <c r="S40" s="57">
        <f t="shared" si="1"/>
        <v>0</v>
      </c>
      <c r="T40" s="12"/>
    </row>
    <row r="41" spans="1:20" ht="14.25" customHeight="1" x14ac:dyDescent="0.25">
      <c r="A41" s="13">
        <v>36</v>
      </c>
      <c r="B41" s="14" t="s">
        <v>59</v>
      </c>
      <c r="C41" s="28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8">
        <v>0</v>
      </c>
      <c r="J41" s="58">
        <v>0</v>
      </c>
      <c r="K41" s="58">
        <v>0</v>
      </c>
      <c r="L41" s="58">
        <v>0</v>
      </c>
      <c r="M41" s="59"/>
      <c r="N41" s="52"/>
      <c r="O41" s="60"/>
      <c r="P41" s="28">
        <f t="shared" si="0"/>
        <v>0</v>
      </c>
      <c r="Q41" s="40" t="s">
        <v>77</v>
      </c>
      <c r="S41" s="57">
        <f t="shared" si="1"/>
        <v>0</v>
      </c>
      <c r="T41" s="12"/>
    </row>
    <row r="42" spans="1:20" ht="14.25" customHeight="1" x14ac:dyDescent="0.25">
      <c r="A42" s="13">
        <v>37</v>
      </c>
      <c r="B42" s="14" t="s">
        <v>60</v>
      </c>
      <c r="C42" s="28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8">
        <v>0</v>
      </c>
      <c r="J42" s="58">
        <v>0</v>
      </c>
      <c r="K42" s="58">
        <v>0</v>
      </c>
      <c r="L42" s="58">
        <v>0</v>
      </c>
      <c r="M42" s="59"/>
      <c r="N42" s="52"/>
      <c r="O42" s="60"/>
      <c r="P42" s="28">
        <f t="shared" si="0"/>
        <v>0</v>
      </c>
      <c r="Q42" s="40" t="s">
        <v>77</v>
      </c>
      <c r="S42" s="57">
        <f t="shared" si="1"/>
        <v>0</v>
      </c>
      <c r="T42" s="12"/>
    </row>
    <row r="43" spans="1:20" ht="14.25" customHeight="1" x14ac:dyDescent="0.25">
      <c r="A43" s="13">
        <v>38</v>
      </c>
      <c r="B43" s="14" t="s">
        <v>61</v>
      </c>
      <c r="C43" s="28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8">
        <v>0</v>
      </c>
      <c r="J43" s="58">
        <v>0</v>
      </c>
      <c r="K43" s="58">
        <v>0</v>
      </c>
      <c r="L43" s="58">
        <v>0</v>
      </c>
      <c r="M43" s="59"/>
      <c r="N43" s="52"/>
      <c r="O43" s="60"/>
      <c r="P43" s="28">
        <f t="shared" si="0"/>
        <v>0</v>
      </c>
      <c r="Q43" s="40" t="s">
        <v>77</v>
      </c>
      <c r="S43" s="57">
        <f t="shared" si="1"/>
        <v>0</v>
      </c>
      <c r="T43" s="12"/>
    </row>
    <row r="44" spans="1:20" ht="14.25" customHeight="1" x14ac:dyDescent="0.25">
      <c r="A44" s="13">
        <v>39</v>
      </c>
      <c r="B44" s="14" t="s">
        <v>62</v>
      </c>
      <c r="C44" s="28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8">
        <v>0</v>
      </c>
      <c r="J44" s="58">
        <v>0</v>
      </c>
      <c r="K44" s="58">
        <v>0</v>
      </c>
      <c r="L44" s="58">
        <v>0</v>
      </c>
      <c r="M44" s="59"/>
      <c r="N44" s="52"/>
      <c r="O44" s="60"/>
      <c r="P44" s="28">
        <f t="shared" si="0"/>
        <v>0</v>
      </c>
      <c r="Q44" s="40" t="s">
        <v>77</v>
      </c>
      <c r="S44" s="57">
        <f t="shared" si="1"/>
        <v>0</v>
      </c>
      <c r="T44" s="12"/>
    </row>
    <row r="45" spans="1:20" ht="14.25" customHeight="1" x14ac:dyDescent="0.25">
      <c r="A45" s="13">
        <v>40</v>
      </c>
      <c r="B45" s="14" t="s">
        <v>63</v>
      </c>
      <c r="C45" s="28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8">
        <v>0</v>
      </c>
      <c r="J45" s="58">
        <v>0</v>
      </c>
      <c r="K45" s="58">
        <v>0</v>
      </c>
      <c r="L45" s="58">
        <v>0</v>
      </c>
      <c r="M45" s="59"/>
      <c r="N45" s="52"/>
      <c r="O45" s="60"/>
      <c r="P45" s="28">
        <f t="shared" si="0"/>
        <v>0</v>
      </c>
      <c r="Q45" s="40" t="s">
        <v>77</v>
      </c>
      <c r="S45" s="57">
        <f t="shared" si="1"/>
        <v>0</v>
      </c>
      <c r="T45" s="12"/>
    </row>
    <row r="46" spans="1:20" ht="14.25" customHeight="1" x14ac:dyDescent="0.25">
      <c r="A46" s="13">
        <v>41</v>
      </c>
      <c r="B46" s="14" t="s">
        <v>64</v>
      </c>
      <c r="C46" s="28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8">
        <v>0</v>
      </c>
      <c r="J46" s="58">
        <v>0</v>
      </c>
      <c r="K46" s="58">
        <v>0</v>
      </c>
      <c r="L46" s="58">
        <v>0</v>
      </c>
      <c r="M46" s="59"/>
      <c r="N46" s="52"/>
      <c r="O46" s="60"/>
      <c r="P46" s="28">
        <f t="shared" si="0"/>
        <v>0</v>
      </c>
      <c r="Q46" s="40" t="s">
        <v>77</v>
      </c>
      <c r="S46" s="57">
        <f t="shared" si="1"/>
        <v>0</v>
      </c>
      <c r="T46" s="12"/>
    </row>
    <row r="47" spans="1:20" ht="14.25" customHeight="1" x14ac:dyDescent="0.25">
      <c r="A47" s="13">
        <v>42</v>
      </c>
      <c r="B47" s="14" t="s">
        <v>65</v>
      </c>
      <c r="C47" s="28">
        <v>26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8">
        <v>0</v>
      </c>
      <c r="J47" s="58">
        <v>0</v>
      </c>
      <c r="K47" s="58">
        <v>0</v>
      </c>
      <c r="L47" s="58">
        <v>0</v>
      </c>
      <c r="M47" s="59"/>
      <c r="N47" s="52"/>
      <c r="O47" s="60"/>
      <c r="P47" s="28">
        <f t="shared" si="0"/>
        <v>0</v>
      </c>
      <c r="Q47" s="40">
        <f t="shared" ref="Q47:Q48" si="5">P47/C47</f>
        <v>0</v>
      </c>
      <c r="S47" s="57">
        <f t="shared" si="1"/>
        <v>0.76336000000000004</v>
      </c>
      <c r="T47" s="12"/>
    </row>
    <row r="48" spans="1:20" ht="14.25" customHeight="1" x14ac:dyDescent="0.25">
      <c r="A48" s="99" t="s">
        <v>66</v>
      </c>
      <c r="B48" s="100"/>
      <c r="C48" s="61">
        <f t="shared" ref="C48:P48" si="6">SUM(C6:C47)</f>
        <v>3274</v>
      </c>
      <c r="D48" s="62">
        <f t="shared" si="6"/>
        <v>205.55937350000002</v>
      </c>
      <c r="E48" s="62">
        <f t="shared" si="6"/>
        <v>466.11182650000006</v>
      </c>
      <c r="F48" s="62">
        <f t="shared" si="6"/>
        <v>419.79449999999997</v>
      </c>
      <c r="G48" s="62">
        <f t="shared" si="6"/>
        <v>419.79449999999997</v>
      </c>
      <c r="H48" s="62">
        <f t="shared" si="6"/>
        <v>391.8082</v>
      </c>
      <c r="I48" s="63">
        <f t="shared" si="6"/>
        <v>251.87669999999997</v>
      </c>
      <c r="J48" s="63">
        <f t="shared" si="6"/>
        <v>195.9041</v>
      </c>
      <c r="K48" s="64">
        <f t="shared" si="6"/>
        <v>167.9178</v>
      </c>
      <c r="L48" s="64">
        <f t="shared" si="6"/>
        <v>83.9589</v>
      </c>
      <c r="M48" s="64">
        <f t="shared" si="6"/>
        <v>0</v>
      </c>
      <c r="N48" s="64">
        <f t="shared" si="6"/>
        <v>0</v>
      </c>
      <c r="O48" s="64">
        <f t="shared" si="6"/>
        <v>0</v>
      </c>
      <c r="P48" s="64">
        <f t="shared" si="6"/>
        <v>2602.7258999999999</v>
      </c>
      <c r="Q48" s="65">
        <f t="shared" si="5"/>
        <v>0.79496820403176538</v>
      </c>
      <c r="S48" s="27">
        <f>SUM(S6:S47)</f>
        <v>96.124639999999999</v>
      </c>
      <c r="T48" s="12"/>
    </row>
    <row r="49" spans="2:16" ht="14.25" customHeight="1" x14ac:dyDescent="0.25">
      <c r="C49" s="1"/>
    </row>
    <row r="50" spans="2:16" ht="14.25" customHeight="1" x14ac:dyDescent="0.25">
      <c r="B50" s="1"/>
      <c r="C50" s="66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6" ht="14.25" hidden="1" customHeight="1" x14ac:dyDescent="0.25">
      <c r="B51" s="1">
        <f>D48/C51*100</f>
        <v>7.3449999999999998</v>
      </c>
      <c r="C51" s="66">
        <v>2798.63</v>
      </c>
      <c r="D51" s="1">
        <f>B51</f>
        <v>7.3449999999999998</v>
      </c>
      <c r="E51" s="1">
        <f>24-D51</f>
        <v>16.655000000000001</v>
      </c>
      <c r="F51" s="1">
        <v>15</v>
      </c>
      <c r="G51" s="1">
        <v>15</v>
      </c>
      <c r="H51" s="1">
        <v>14</v>
      </c>
      <c r="I51" s="1">
        <v>9</v>
      </c>
      <c r="J51" s="1">
        <v>7</v>
      </c>
      <c r="K51" s="1">
        <v>6</v>
      </c>
      <c r="L51" s="1">
        <v>3</v>
      </c>
      <c r="M51" s="1">
        <v>3</v>
      </c>
      <c r="N51" s="1">
        <v>2</v>
      </c>
      <c r="O51" s="1">
        <v>2</v>
      </c>
    </row>
    <row r="52" spans="2:16" ht="14.25" hidden="1" customHeight="1" x14ac:dyDescent="0.25">
      <c r="D52" s="31">
        <f t="shared" ref="D52:O52" si="7">$C$51*D51/100</f>
        <v>205.55937349999999</v>
      </c>
      <c r="E52" s="31">
        <f t="shared" si="7"/>
        <v>466.11182650000001</v>
      </c>
      <c r="F52" s="31">
        <f t="shared" si="7"/>
        <v>419.79450000000003</v>
      </c>
      <c r="G52" s="31">
        <f t="shared" si="7"/>
        <v>419.79450000000003</v>
      </c>
      <c r="H52" s="31">
        <f t="shared" si="7"/>
        <v>391.8082</v>
      </c>
      <c r="I52" s="31">
        <f t="shared" si="7"/>
        <v>251.87670000000003</v>
      </c>
      <c r="J52" s="31">
        <f t="shared" si="7"/>
        <v>195.9041</v>
      </c>
      <c r="K52" s="31">
        <f t="shared" si="7"/>
        <v>167.9178</v>
      </c>
      <c r="L52" s="31">
        <f t="shared" si="7"/>
        <v>83.9589</v>
      </c>
      <c r="M52" s="31">
        <f t="shared" si="7"/>
        <v>83.9589</v>
      </c>
      <c r="N52" s="31">
        <f t="shared" si="7"/>
        <v>55.9726</v>
      </c>
      <c r="O52" s="31">
        <f t="shared" si="7"/>
        <v>55.9726</v>
      </c>
      <c r="P52" s="31">
        <f>SUM(D52:O52)</f>
        <v>2798.6300000000006</v>
      </c>
    </row>
    <row r="53" spans="2:16" ht="14.25" hidden="1" customHeight="1" x14ac:dyDescent="0.25">
      <c r="C53" s="67">
        <f t="shared" ref="C53:O53" si="8">SUM(C54:C95)</f>
        <v>2798.63</v>
      </c>
      <c r="D53" s="67">
        <f t="shared" si="8"/>
        <v>205.55937350000002</v>
      </c>
      <c r="E53" s="67">
        <f t="shared" si="8"/>
        <v>466.11182650000006</v>
      </c>
      <c r="F53" s="67">
        <f t="shared" si="8"/>
        <v>419.79449999999997</v>
      </c>
      <c r="G53" s="67">
        <f t="shared" si="8"/>
        <v>419.79449999999997</v>
      </c>
      <c r="H53" s="67">
        <f t="shared" si="8"/>
        <v>391.8082</v>
      </c>
      <c r="I53" s="67">
        <f t="shared" si="8"/>
        <v>251.87669999999997</v>
      </c>
      <c r="J53" s="67">
        <f t="shared" si="8"/>
        <v>195.9041</v>
      </c>
      <c r="K53" s="67">
        <f t="shared" si="8"/>
        <v>167.9178</v>
      </c>
      <c r="L53" s="67">
        <f t="shared" si="8"/>
        <v>83.9589</v>
      </c>
      <c r="M53" s="67">
        <f t="shared" si="8"/>
        <v>83.9589</v>
      </c>
      <c r="N53" s="67">
        <f t="shared" si="8"/>
        <v>55.9726</v>
      </c>
      <c r="O53" s="67">
        <f t="shared" si="8"/>
        <v>55.9726</v>
      </c>
      <c r="P53" s="67"/>
    </row>
    <row r="54" spans="2:16" ht="14.25" hidden="1" customHeight="1" x14ac:dyDescent="0.25">
      <c r="C54" s="1">
        <v>37</v>
      </c>
      <c r="D54" s="1">
        <f t="shared" ref="D54:O54" si="9">$C54*D$51/100</f>
        <v>2.7176499999999999</v>
      </c>
      <c r="E54" s="1">
        <f t="shared" si="9"/>
        <v>6.16235</v>
      </c>
      <c r="F54" s="1">
        <f t="shared" si="9"/>
        <v>5.55</v>
      </c>
      <c r="G54" s="1">
        <f t="shared" si="9"/>
        <v>5.55</v>
      </c>
      <c r="H54" s="1">
        <f t="shared" si="9"/>
        <v>5.18</v>
      </c>
      <c r="I54" s="1">
        <f t="shared" si="9"/>
        <v>3.33</v>
      </c>
      <c r="J54" s="1">
        <f t="shared" si="9"/>
        <v>2.59</v>
      </c>
      <c r="K54" s="1">
        <f t="shared" si="9"/>
        <v>2.2200000000000002</v>
      </c>
      <c r="L54" s="1">
        <f t="shared" si="9"/>
        <v>1.1100000000000001</v>
      </c>
      <c r="M54" s="1">
        <f t="shared" si="9"/>
        <v>1.1100000000000001</v>
      </c>
      <c r="N54" s="1">
        <f t="shared" si="9"/>
        <v>0.74</v>
      </c>
      <c r="O54" s="1">
        <f t="shared" si="9"/>
        <v>0.74</v>
      </c>
    </row>
    <row r="55" spans="2:16" ht="14.25" hidden="1" customHeight="1" x14ac:dyDescent="0.25">
      <c r="D55" s="1">
        <f t="shared" ref="D55:O55" si="10">$C55*D$51/100</f>
        <v>0</v>
      </c>
      <c r="E55" s="1">
        <f t="shared" si="10"/>
        <v>0</v>
      </c>
      <c r="F55" s="1">
        <f t="shared" si="10"/>
        <v>0</v>
      </c>
      <c r="G55" s="1">
        <f t="shared" si="10"/>
        <v>0</v>
      </c>
      <c r="H55" s="1">
        <f t="shared" si="10"/>
        <v>0</v>
      </c>
      <c r="I55" s="1">
        <f t="shared" si="10"/>
        <v>0</v>
      </c>
      <c r="J55" s="1">
        <f t="shared" si="10"/>
        <v>0</v>
      </c>
      <c r="K55" s="1">
        <f t="shared" si="10"/>
        <v>0</v>
      </c>
      <c r="L55" s="1">
        <f t="shared" si="10"/>
        <v>0</v>
      </c>
      <c r="M55" s="1">
        <f t="shared" si="10"/>
        <v>0</v>
      </c>
      <c r="N55" s="1">
        <f t="shared" si="10"/>
        <v>0</v>
      </c>
      <c r="O55" s="1">
        <f t="shared" si="10"/>
        <v>0</v>
      </c>
    </row>
    <row r="56" spans="2:16" ht="14.25" hidden="1" customHeight="1" x14ac:dyDescent="0.25">
      <c r="C56" s="1">
        <v>245</v>
      </c>
      <c r="D56" s="1">
        <f t="shared" ref="D56:O56" si="11">$C56*D$51/100</f>
        <v>17.995249999999999</v>
      </c>
      <c r="E56" s="1">
        <f t="shared" si="11"/>
        <v>40.804750000000006</v>
      </c>
      <c r="F56" s="1">
        <f t="shared" si="11"/>
        <v>36.75</v>
      </c>
      <c r="G56" s="1">
        <f t="shared" si="11"/>
        <v>36.75</v>
      </c>
      <c r="H56" s="1">
        <f t="shared" si="11"/>
        <v>34.299999999999997</v>
      </c>
      <c r="I56" s="1">
        <f t="shared" si="11"/>
        <v>22.05</v>
      </c>
      <c r="J56" s="1">
        <f t="shared" si="11"/>
        <v>17.149999999999999</v>
      </c>
      <c r="K56" s="1">
        <f t="shared" si="11"/>
        <v>14.7</v>
      </c>
      <c r="L56" s="1">
        <f t="shared" si="11"/>
        <v>7.35</v>
      </c>
      <c r="M56" s="1">
        <f t="shared" si="11"/>
        <v>7.35</v>
      </c>
      <c r="N56" s="1">
        <f t="shared" si="11"/>
        <v>4.9000000000000004</v>
      </c>
      <c r="O56" s="1">
        <f t="shared" si="11"/>
        <v>4.9000000000000004</v>
      </c>
    </row>
    <row r="57" spans="2:16" ht="14.25" hidden="1" customHeight="1" x14ac:dyDescent="0.25">
      <c r="D57" s="1">
        <f t="shared" ref="D57:O57" si="12">$C57*D$51/100</f>
        <v>0</v>
      </c>
      <c r="E57" s="1">
        <f t="shared" si="12"/>
        <v>0</v>
      </c>
      <c r="F57" s="1">
        <f t="shared" si="12"/>
        <v>0</v>
      </c>
      <c r="G57" s="1">
        <f t="shared" si="12"/>
        <v>0</v>
      </c>
      <c r="H57" s="1">
        <f t="shared" si="12"/>
        <v>0</v>
      </c>
      <c r="I57" s="1">
        <f t="shared" si="12"/>
        <v>0</v>
      </c>
      <c r="J57" s="1">
        <f t="shared" si="12"/>
        <v>0</v>
      </c>
      <c r="K57" s="1">
        <f t="shared" si="12"/>
        <v>0</v>
      </c>
      <c r="L57" s="1">
        <f t="shared" si="12"/>
        <v>0</v>
      </c>
      <c r="M57" s="1">
        <f t="shared" si="12"/>
        <v>0</v>
      </c>
      <c r="N57" s="1">
        <f t="shared" si="12"/>
        <v>0</v>
      </c>
      <c r="O57" s="1">
        <f t="shared" si="12"/>
        <v>0</v>
      </c>
    </row>
    <row r="58" spans="2:16" ht="14.25" hidden="1" customHeight="1" x14ac:dyDescent="0.25">
      <c r="D58" s="1">
        <f t="shared" ref="D58:O58" si="13">$C58*D$51/100</f>
        <v>0</v>
      </c>
      <c r="E58" s="1">
        <f t="shared" si="13"/>
        <v>0</v>
      </c>
      <c r="F58" s="1">
        <f t="shared" si="13"/>
        <v>0</v>
      </c>
      <c r="G58" s="1">
        <f t="shared" si="13"/>
        <v>0</v>
      </c>
      <c r="H58" s="1">
        <f t="shared" si="13"/>
        <v>0</v>
      </c>
      <c r="I58" s="1">
        <f t="shared" si="13"/>
        <v>0</v>
      </c>
      <c r="J58" s="1">
        <f t="shared" si="13"/>
        <v>0</v>
      </c>
      <c r="K58" s="1">
        <f t="shared" si="13"/>
        <v>0</v>
      </c>
      <c r="L58" s="1">
        <f t="shared" si="13"/>
        <v>0</v>
      </c>
      <c r="M58" s="1">
        <f t="shared" si="13"/>
        <v>0</v>
      </c>
      <c r="N58" s="1">
        <f t="shared" si="13"/>
        <v>0</v>
      </c>
      <c r="O58" s="1">
        <f t="shared" si="13"/>
        <v>0</v>
      </c>
    </row>
    <row r="59" spans="2:16" ht="14.25" hidden="1" customHeight="1" x14ac:dyDescent="0.25">
      <c r="C59" s="1">
        <v>202.5</v>
      </c>
      <c r="D59" s="1">
        <f t="shared" ref="D59:O59" si="14">$C59*D$51/100</f>
        <v>14.873624999999999</v>
      </c>
      <c r="E59" s="1">
        <f t="shared" si="14"/>
        <v>33.726375000000004</v>
      </c>
      <c r="F59" s="1">
        <f t="shared" si="14"/>
        <v>30.375</v>
      </c>
      <c r="G59" s="1">
        <f t="shared" si="14"/>
        <v>30.375</v>
      </c>
      <c r="H59" s="1">
        <f t="shared" si="14"/>
        <v>28.35</v>
      </c>
      <c r="I59" s="1">
        <f t="shared" si="14"/>
        <v>18.225000000000001</v>
      </c>
      <c r="J59" s="1">
        <f t="shared" si="14"/>
        <v>14.175000000000001</v>
      </c>
      <c r="K59" s="1">
        <f t="shared" si="14"/>
        <v>12.15</v>
      </c>
      <c r="L59" s="1">
        <f t="shared" si="14"/>
        <v>6.0750000000000002</v>
      </c>
      <c r="M59" s="1">
        <f t="shared" si="14"/>
        <v>6.0750000000000002</v>
      </c>
      <c r="N59" s="1">
        <f t="shared" si="14"/>
        <v>4.05</v>
      </c>
      <c r="O59" s="1">
        <f t="shared" si="14"/>
        <v>4.05</v>
      </c>
    </row>
    <row r="60" spans="2:16" ht="14.25" hidden="1" customHeight="1" x14ac:dyDescent="0.25">
      <c r="C60" s="1">
        <v>312</v>
      </c>
      <c r="D60" s="1">
        <f t="shared" ref="D60:O60" si="15">$C60*D$51/100</f>
        <v>22.916399999999999</v>
      </c>
      <c r="E60" s="1">
        <f t="shared" si="15"/>
        <v>51.963600000000007</v>
      </c>
      <c r="F60" s="1">
        <f t="shared" si="15"/>
        <v>46.8</v>
      </c>
      <c r="G60" s="1">
        <f t="shared" si="15"/>
        <v>46.8</v>
      </c>
      <c r="H60" s="1">
        <f t="shared" si="15"/>
        <v>43.68</v>
      </c>
      <c r="I60" s="1">
        <f t="shared" si="15"/>
        <v>28.08</v>
      </c>
      <c r="J60" s="1">
        <f t="shared" si="15"/>
        <v>21.84</v>
      </c>
      <c r="K60" s="1">
        <f t="shared" si="15"/>
        <v>18.72</v>
      </c>
      <c r="L60" s="1">
        <f t="shared" si="15"/>
        <v>9.36</v>
      </c>
      <c r="M60" s="1">
        <f t="shared" si="15"/>
        <v>9.36</v>
      </c>
      <c r="N60" s="1">
        <f t="shared" si="15"/>
        <v>6.24</v>
      </c>
      <c r="O60" s="1">
        <f t="shared" si="15"/>
        <v>6.24</v>
      </c>
    </row>
    <row r="61" spans="2:16" ht="14.25" hidden="1" customHeight="1" x14ac:dyDescent="0.25">
      <c r="D61" s="1">
        <f t="shared" ref="D61:O61" si="16">$C61*D$51/100</f>
        <v>0</v>
      </c>
      <c r="E61" s="1">
        <f t="shared" si="16"/>
        <v>0</v>
      </c>
      <c r="F61" s="1">
        <f t="shared" si="16"/>
        <v>0</v>
      </c>
      <c r="G61" s="1">
        <f t="shared" si="16"/>
        <v>0</v>
      </c>
      <c r="H61" s="1">
        <f t="shared" si="16"/>
        <v>0</v>
      </c>
      <c r="I61" s="1">
        <f t="shared" si="16"/>
        <v>0</v>
      </c>
      <c r="J61" s="1">
        <f t="shared" si="16"/>
        <v>0</v>
      </c>
      <c r="K61" s="1">
        <f t="shared" si="16"/>
        <v>0</v>
      </c>
      <c r="L61" s="1">
        <f t="shared" si="16"/>
        <v>0</v>
      </c>
      <c r="M61" s="1">
        <f t="shared" si="16"/>
        <v>0</v>
      </c>
      <c r="N61" s="1">
        <f t="shared" si="16"/>
        <v>0</v>
      </c>
      <c r="O61" s="1">
        <f t="shared" si="16"/>
        <v>0</v>
      </c>
    </row>
    <row r="62" spans="2:16" ht="14.25" hidden="1" customHeight="1" x14ac:dyDescent="0.25">
      <c r="D62" s="1">
        <f t="shared" ref="D62:O62" si="17">$C62*D$51/100</f>
        <v>0</v>
      </c>
      <c r="E62" s="1">
        <f t="shared" si="17"/>
        <v>0</v>
      </c>
      <c r="F62" s="1">
        <f t="shared" si="17"/>
        <v>0</v>
      </c>
      <c r="G62" s="1">
        <f t="shared" si="17"/>
        <v>0</v>
      </c>
      <c r="H62" s="1">
        <f t="shared" si="17"/>
        <v>0</v>
      </c>
      <c r="I62" s="1">
        <f t="shared" si="17"/>
        <v>0</v>
      </c>
      <c r="J62" s="1">
        <f t="shared" si="17"/>
        <v>0</v>
      </c>
      <c r="K62" s="1">
        <f t="shared" si="17"/>
        <v>0</v>
      </c>
      <c r="L62" s="1">
        <f t="shared" si="17"/>
        <v>0</v>
      </c>
      <c r="M62" s="1">
        <f t="shared" si="17"/>
        <v>0</v>
      </c>
      <c r="N62" s="1">
        <f t="shared" si="17"/>
        <v>0</v>
      </c>
      <c r="O62" s="1">
        <f t="shared" si="17"/>
        <v>0</v>
      </c>
    </row>
    <row r="63" spans="2:16" ht="14.25" hidden="1" customHeight="1" x14ac:dyDescent="0.25">
      <c r="D63" s="1">
        <f t="shared" ref="D63:O63" si="18">$C63*D$51/100</f>
        <v>0</v>
      </c>
      <c r="E63" s="1">
        <f t="shared" si="18"/>
        <v>0</v>
      </c>
      <c r="F63" s="1">
        <f t="shared" si="18"/>
        <v>0</v>
      </c>
      <c r="G63" s="1">
        <f t="shared" si="18"/>
        <v>0</v>
      </c>
      <c r="H63" s="1">
        <f t="shared" si="18"/>
        <v>0</v>
      </c>
      <c r="I63" s="1">
        <f t="shared" si="18"/>
        <v>0</v>
      </c>
      <c r="J63" s="1">
        <f t="shared" si="18"/>
        <v>0</v>
      </c>
      <c r="K63" s="1">
        <f t="shared" si="18"/>
        <v>0</v>
      </c>
      <c r="L63" s="1">
        <f t="shared" si="18"/>
        <v>0</v>
      </c>
      <c r="M63" s="1">
        <f t="shared" si="18"/>
        <v>0</v>
      </c>
      <c r="N63" s="1">
        <f t="shared" si="18"/>
        <v>0</v>
      </c>
      <c r="O63" s="1">
        <f t="shared" si="18"/>
        <v>0</v>
      </c>
    </row>
    <row r="64" spans="2:16" ht="14.25" hidden="1" customHeight="1" x14ac:dyDescent="0.25">
      <c r="D64" s="1">
        <f t="shared" ref="D64:O64" si="19">$C64*D$51/100</f>
        <v>0</v>
      </c>
      <c r="E64" s="1">
        <f t="shared" si="19"/>
        <v>0</v>
      </c>
      <c r="F64" s="1">
        <f t="shared" si="19"/>
        <v>0</v>
      </c>
      <c r="G64" s="1">
        <f t="shared" si="19"/>
        <v>0</v>
      </c>
      <c r="H64" s="1">
        <f t="shared" si="19"/>
        <v>0</v>
      </c>
      <c r="I64" s="1">
        <f t="shared" si="19"/>
        <v>0</v>
      </c>
      <c r="J64" s="1">
        <f t="shared" si="19"/>
        <v>0</v>
      </c>
      <c r="K64" s="1">
        <f t="shared" si="19"/>
        <v>0</v>
      </c>
      <c r="L64" s="1">
        <f t="shared" si="19"/>
        <v>0</v>
      </c>
      <c r="M64" s="1">
        <f t="shared" si="19"/>
        <v>0</v>
      </c>
      <c r="N64" s="1">
        <f t="shared" si="19"/>
        <v>0</v>
      </c>
      <c r="O64" s="1">
        <f t="shared" si="19"/>
        <v>0</v>
      </c>
    </row>
    <row r="65" spans="3:15" ht="14.25" hidden="1" customHeight="1" x14ac:dyDescent="0.25">
      <c r="C65" s="68">
        <v>1261</v>
      </c>
      <c r="D65" s="1">
        <f t="shared" ref="D65:O65" si="20">$C65*D$51/100</f>
        <v>92.620450000000005</v>
      </c>
      <c r="E65" s="1">
        <f t="shared" si="20"/>
        <v>210.01955000000001</v>
      </c>
      <c r="F65" s="1">
        <f t="shared" si="20"/>
        <v>189.15</v>
      </c>
      <c r="G65" s="1">
        <f t="shared" si="20"/>
        <v>189.15</v>
      </c>
      <c r="H65" s="1">
        <f t="shared" si="20"/>
        <v>176.54</v>
      </c>
      <c r="I65" s="1">
        <f t="shared" si="20"/>
        <v>113.49</v>
      </c>
      <c r="J65" s="1">
        <f t="shared" si="20"/>
        <v>88.27</v>
      </c>
      <c r="K65" s="1">
        <f t="shared" si="20"/>
        <v>75.66</v>
      </c>
      <c r="L65" s="1">
        <f t="shared" si="20"/>
        <v>37.83</v>
      </c>
      <c r="M65" s="1">
        <f t="shared" si="20"/>
        <v>37.83</v>
      </c>
      <c r="N65" s="1">
        <f t="shared" si="20"/>
        <v>25.22</v>
      </c>
      <c r="O65" s="1">
        <f t="shared" si="20"/>
        <v>25.22</v>
      </c>
    </row>
    <row r="66" spans="3:15" ht="14.25" hidden="1" customHeight="1" x14ac:dyDescent="0.25">
      <c r="C66" s="1">
        <v>5.26</v>
      </c>
      <c r="D66" s="1">
        <f t="shared" ref="D66:O66" si="21">$C66*D$51/100</f>
        <v>0.38634699999999994</v>
      </c>
      <c r="E66" s="1">
        <f t="shared" si="21"/>
        <v>0.87605299999999997</v>
      </c>
      <c r="F66" s="1">
        <f t="shared" si="21"/>
        <v>0.78899999999999992</v>
      </c>
      <c r="G66" s="1">
        <f t="shared" si="21"/>
        <v>0.78899999999999992</v>
      </c>
      <c r="H66" s="1">
        <f t="shared" si="21"/>
        <v>0.73640000000000005</v>
      </c>
      <c r="I66" s="1">
        <f t="shared" si="21"/>
        <v>0.47339999999999999</v>
      </c>
      <c r="J66" s="1">
        <f t="shared" si="21"/>
        <v>0.36820000000000003</v>
      </c>
      <c r="K66" s="1">
        <f t="shared" si="21"/>
        <v>0.31559999999999999</v>
      </c>
      <c r="L66" s="1">
        <f t="shared" si="21"/>
        <v>0.1578</v>
      </c>
      <c r="M66" s="1">
        <f t="shared" si="21"/>
        <v>0.1578</v>
      </c>
      <c r="N66" s="1">
        <f t="shared" si="21"/>
        <v>0.1052</v>
      </c>
      <c r="O66" s="1">
        <f t="shared" si="21"/>
        <v>0.1052</v>
      </c>
    </row>
    <row r="67" spans="3:15" ht="14.25" hidden="1" customHeight="1" x14ac:dyDescent="0.25">
      <c r="C67" s="1">
        <v>179</v>
      </c>
      <c r="D67" s="1">
        <f t="shared" ref="D67:O67" si="22">$C67*D$51/100</f>
        <v>13.147549999999999</v>
      </c>
      <c r="E67" s="1">
        <f t="shared" si="22"/>
        <v>29.812450000000002</v>
      </c>
      <c r="F67" s="1">
        <f t="shared" si="22"/>
        <v>26.85</v>
      </c>
      <c r="G67" s="1">
        <f t="shared" si="22"/>
        <v>26.85</v>
      </c>
      <c r="H67" s="1">
        <f t="shared" si="22"/>
        <v>25.06</v>
      </c>
      <c r="I67" s="1">
        <f t="shared" si="22"/>
        <v>16.11</v>
      </c>
      <c r="J67" s="1">
        <f t="shared" si="22"/>
        <v>12.53</v>
      </c>
      <c r="K67" s="1">
        <f t="shared" si="22"/>
        <v>10.74</v>
      </c>
      <c r="L67" s="1">
        <f t="shared" si="22"/>
        <v>5.37</v>
      </c>
      <c r="M67" s="1">
        <f t="shared" si="22"/>
        <v>5.37</v>
      </c>
      <c r="N67" s="1">
        <f t="shared" si="22"/>
        <v>3.58</v>
      </c>
      <c r="O67" s="1">
        <f t="shared" si="22"/>
        <v>3.58</v>
      </c>
    </row>
    <row r="68" spans="3:15" ht="14.25" hidden="1" customHeight="1" x14ac:dyDescent="0.25">
      <c r="C68" s="1">
        <v>59.35</v>
      </c>
      <c r="D68" s="1">
        <f t="shared" ref="D68:O68" si="23">$C68*D$51/100</f>
        <v>4.3592575</v>
      </c>
      <c r="E68" s="1">
        <f t="shared" si="23"/>
        <v>9.8847425000000015</v>
      </c>
      <c r="F68" s="1">
        <f t="shared" si="23"/>
        <v>8.9024999999999999</v>
      </c>
      <c r="G68" s="1">
        <f t="shared" si="23"/>
        <v>8.9024999999999999</v>
      </c>
      <c r="H68" s="1">
        <f t="shared" si="23"/>
        <v>8.3089999999999993</v>
      </c>
      <c r="I68" s="1">
        <f t="shared" si="23"/>
        <v>5.3414999999999999</v>
      </c>
      <c r="J68" s="1">
        <f t="shared" si="23"/>
        <v>4.1544999999999996</v>
      </c>
      <c r="K68" s="1">
        <f t="shared" si="23"/>
        <v>3.5610000000000004</v>
      </c>
      <c r="L68" s="1">
        <f t="shared" si="23"/>
        <v>1.7805000000000002</v>
      </c>
      <c r="M68" s="1">
        <f t="shared" si="23"/>
        <v>1.7805000000000002</v>
      </c>
      <c r="N68" s="1">
        <f t="shared" si="23"/>
        <v>1.1870000000000001</v>
      </c>
      <c r="O68" s="1">
        <f t="shared" si="23"/>
        <v>1.1870000000000001</v>
      </c>
    </row>
    <row r="69" spans="3:15" ht="14.25" hidden="1" customHeight="1" x14ac:dyDescent="0.25">
      <c r="C69" s="1">
        <v>158</v>
      </c>
      <c r="D69" s="1">
        <f t="shared" ref="D69:O69" si="24">$C69*D$51/100</f>
        <v>11.6051</v>
      </c>
      <c r="E69" s="1">
        <f t="shared" si="24"/>
        <v>26.314900000000002</v>
      </c>
      <c r="F69" s="1">
        <f t="shared" si="24"/>
        <v>23.7</v>
      </c>
      <c r="G69" s="1">
        <f t="shared" si="24"/>
        <v>23.7</v>
      </c>
      <c r="H69" s="1">
        <f t="shared" si="24"/>
        <v>22.12</v>
      </c>
      <c r="I69" s="1">
        <f t="shared" si="24"/>
        <v>14.22</v>
      </c>
      <c r="J69" s="1">
        <f t="shared" si="24"/>
        <v>11.06</v>
      </c>
      <c r="K69" s="1">
        <f t="shared" si="24"/>
        <v>9.48</v>
      </c>
      <c r="L69" s="1">
        <f t="shared" si="24"/>
        <v>4.74</v>
      </c>
      <c r="M69" s="1">
        <f t="shared" si="24"/>
        <v>4.74</v>
      </c>
      <c r="N69" s="1">
        <f t="shared" si="24"/>
        <v>3.16</v>
      </c>
      <c r="O69" s="1">
        <f t="shared" si="24"/>
        <v>3.16</v>
      </c>
    </row>
    <row r="70" spans="3:15" ht="14.25" hidden="1" customHeight="1" x14ac:dyDescent="0.25">
      <c r="C70" s="1">
        <v>61.52</v>
      </c>
      <c r="D70" s="1">
        <f t="shared" ref="D70:O70" si="25">$C70*D$51/100</f>
        <v>4.5186440000000001</v>
      </c>
      <c r="E70" s="1">
        <f t="shared" si="25"/>
        <v>10.246156000000001</v>
      </c>
      <c r="F70" s="1">
        <f t="shared" si="25"/>
        <v>9.2280000000000015</v>
      </c>
      <c r="G70" s="1">
        <f t="shared" si="25"/>
        <v>9.2280000000000015</v>
      </c>
      <c r="H70" s="1">
        <f t="shared" si="25"/>
        <v>8.6128</v>
      </c>
      <c r="I70" s="1">
        <f t="shared" si="25"/>
        <v>5.5368000000000004</v>
      </c>
      <c r="J70" s="1">
        <f t="shared" si="25"/>
        <v>4.3064</v>
      </c>
      <c r="K70" s="1">
        <f t="shared" si="25"/>
        <v>3.6912000000000003</v>
      </c>
      <c r="L70" s="1">
        <f t="shared" si="25"/>
        <v>1.8456000000000001</v>
      </c>
      <c r="M70" s="1">
        <f t="shared" si="25"/>
        <v>1.8456000000000001</v>
      </c>
      <c r="N70" s="1">
        <f t="shared" si="25"/>
        <v>1.2304000000000002</v>
      </c>
      <c r="O70" s="1">
        <f t="shared" si="25"/>
        <v>1.2304000000000002</v>
      </c>
    </row>
    <row r="71" spans="3:15" ht="14.25" hidden="1" customHeight="1" x14ac:dyDescent="0.25">
      <c r="D71" s="1">
        <f t="shared" ref="D71:O71" si="26">$C71*D$51/100</f>
        <v>0</v>
      </c>
      <c r="E71" s="1">
        <f t="shared" si="26"/>
        <v>0</v>
      </c>
      <c r="F71" s="1">
        <f t="shared" si="26"/>
        <v>0</v>
      </c>
      <c r="G71" s="1">
        <f t="shared" si="26"/>
        <v>0</v>
      </c>
      <c r="H71" s="1">
        <f t="shared" si="26"/>
        <v>0</v>
      </c>
      <c r="I71" s="1">
        <f t="shared" si="26"/>
        <v>0</v>
      </c>
      <c r="J71" s="1">
        <f t="shared" si="26"/>
        <v>0</v>
      </c>
      <c r="K71" s="1">
        <f t="shared" si="26"/>
        <v>0</v>
      </c>
      <c r="L71" s="1">
        <f t="shared" si="26"/>
        <v>0</v>
      </c>
      <c r="M71" s="1">
        <f t="shared" si="26"/>
        <v>0</v>
      </c>
      <c r="N71" s="1">
        <f t="shared" si="26"/>
        <v>0</v>
      </c>
      <c r="O71" s="1">
        <f t="shared" si="26"/>
        <v>0</v>
      </c>
    </row>
    <row r="72" spans="3:15" ht="14.25" hidden="1" customHeight="1" x14ac:dyDescent="0.25">
      <c r="C72" s="1">
        <v>73</v>
      </c>
      <c r="D72" s="1">
        <f t="shared" ref="D72:O72" si="27">$C72*D$51/100</f>
        <v>5.3618499999999996</v>
      </c>
      <c r="E72" s="1">
        <f t="shared" si="27"/>
        <v>12.158150000000001</v>
      </c>
      <c r="F72" s="1">
        <f t="shared" si="27"/>
        <v>10.95</v>
      </c>
      <c r="G72" s="1">
        <f t="shared" si="27"/>
        <v>10.95</v>
      </c>
      <c r="H72" s="1">
        <f t="shared" si="27"/>
        <v>10.220000000000001</v>
      </c>
      <c r="I72" s="1">
        <f t="shared" si="27"/>
        <v>6.57</v>
      </c>
      <c r="J72" s="1">
        <f t="shared" si="27"/>
        <v>5.1100000000000003</v>
      </c>
      <c r="K72" s="1">
        <f t="shared" si="27"/>
        <v>4.38</v>
      </c>
      <c r="L72" s="1">
        <f t="shared" si="27"/>
        <v>2.19</v>
      </c>
      <c r="M72" s="1">
        <f t="shared" si="27"/>
        <v>2.19</v>
      </c>
      <c r="N72" s="1">
        <f t="shared" si="27"/>
        <v>1.46</v>
      </c>
      <c r="O72" s="1">
        <f t="shared" si="27"/>
        <v>1.46</v>
      </c>
    </row>
    <row r="73" spans="3:15" ht="14.25" hidden="1" customHeight="1" x14ac:dyDescent="0.25">
      <c r="C73" s="1">
        <v>205</v>
      </c>
      <c r="D73" s="1">
        <f t="shared" ref="D73:O73" si="28">$C73*D$51/100</f>
        <v>15.05725</v>
      </c>
      <c r="E73" s="1">
        <f t="shared" si="28"/>
        <v>34.142749999999999</v>
      </c>
      <c r="F73" s="1">
        <f t="shared" si="28"/>
        <v>30.75</v>
      </c>
      <c r="G73" s="1">
        <f t="shared" si="28"/>
        <v>30.75</v>
      </c>
      <c r="H73" s="1">
        <f t="shared" si="28"/>
        <v>28.7</v>
      </c>
      <c r="I73" s="1">
        <f t="shared" si="28"/>
        <v>18.45</v>
      </c>
      <c r="J73" s="1">
        <f t="shared" si="28"/>
        <v>14.35</v>
      </c>
      <c r="K73" s="1">
        <f t="shared" si="28"/>
        <v>12.3</v>
      </c>
      <c r="L73" s="1">
        <f t="shared" si="28"/>
        <v>6.15</v>
      </c>
      <c r="M73" s="1">
        <f t="shared" si="28"/>
        <v>6.15</v>
      </c>
      <c r="N73" s="1">
        <f t="shared" si="28"/>
        <v>4.0999999999999996</v>
      </c>
      <c r="O73" s="1">
        <f t="shared" si="28"/>
        <v>4.0999999999999996</v>
      </c>
    </row>
    <row r="74" spans="3:15" ht="14.25" hidden="1" customHeight="1" x14ac:dyDescent="0.25">
      <c r="D74" s="1">
        <f t="shared" ref="D74:O74" si="29">$C74*D$51/100</f>
        <v>0</v>
      </c>
      <c r="E74" s="1">
        <f t="shared" si="29"/>
        <v>0</v>
      </c>
      <c r="F74" s="1">
        <f t="shared" si="29"/>
        <v>0</v>
      </c>
      <c r="G74" s="1">
        <f t="shared" si="29"/>
        <v>0</v>
      </c>
      <c r="H74" s="1">
        <f t="shared" si="29"/>
        <v>0</v>
      </c>
      <c r="I74" s="1">
        <f t="shared" si="29"/>
        <v>0</v>
      </c>
      <c r="J74" s="1">
        <f t="shared" si="29"/>
        <v>0</v>
      </c>
      <c r="K74" s="1">
        <f t="shared" si="29"/>
        <v>0</v>
      </c>
      <c r="L74" s="1">
        <f t="shared" si="29"/>
        <v>0</v>
      </c>
      <c r="M74" s="1">
        <f t="shared" si="29"/>
        <v>0</v>
      </c>
      <c r="N74" s="1">
        <f t="shared" si="29"/>
        <v>0</v>
      </c>
      <c r="O74" s="1">
        <f t="shared" si="29"/>
        <v>0</v>
      </c>
    </row>
    <row r="75" spans="3:15" ht="14.25" hidden="1" customHeight="1" x14ac:dyDescent="0.25">
      <c r="D75" s="1">
        <f t="shared" ref="D75:O75" si="30">$C75*D$51/100</f>
        <v>0</v>
      </c>
      <c r="E75" s="1">
        <f t="shared" si="30"/>
        <v>0</v>
      </c>
      <c r="F75" s="1">
        <f t="shared" si="30"/>
        <v>0</v>
      </c>
      <c r="G75" s="1">
        <f t="shared" si="30"/>
        <v>0</v>
      </c>
      <c r="H75" s="1">
        <f t="shared" si="30"/>
        <v>0</v>
      </c>
      <c r="I75" s="1">
        <f t="shared" si="30"/>
        <v>0</v>
      </c>
      <c r="J75" s="1">
        <f t="shared" si="30"/>
        <v>0</v>
      </c>
      <c r="K75" s="1">
        <f t="shared" si="30"/>
        <v>0</v>
      </c>
      <c r="L75" s="1">
        <f t="shared" si="30"/>
        <v>0</v>
      </c>
      <c r="M75" s="1">
        <f t="shared" si="30"/>
        <v>0</v>
      </c>
      <c r="N75" s="1">
        <f t="shared" si="30"/>
        <v>0</v>
      </c>
      <c r="O75" s="1">
        <f t="shared" si="30"/>
        <v>0</v>
      </c>
    </row>
    <row r="76" spans="3:15" ht="14.25" hidden="1" customHeight="1" x14ac:dyDescent="0.25">
      <c r="D76" s="1">
        <f t="shared" ref="D76:O76" si="31">$C76*D$51/100</f>
        <v>0</v>
      </c>
      <c r="E76" s="1">
        <f t="shared" si="31"/>
        <v>0</v>
      </c>
      <c r="F76" s="1">
        <f t="shared" si="31"/>
        <v>0</v>
      </c>
      <c r="G76" s="1">
        <f t="shared" si="31"/>
        <v>0</v>
      </c>
      <c r="H76" s="1">
        <f t="shared" si="31"/>
        <v>0</v>
      </c>
      <c r="I76" s="1">
        <f t="shared" si="31"/>
        <v>0</v>
      </c>
      <c r="J76" s="1">
        <f t="shared" si="31"/>
        <v>0</v>
      </c>
      <c r="K76" s="1">
        <f t="shared" si="31"/>
        <v>0</v>
      </c>
      <c r="L76" s="1">
        <f t="shared" si="31"/>
        <v>0</v>
      </c>
      <c r="M76" s="1">
        <f t="shared" si="31"/>
        <v>0</v>
      </c>
      <c r="N76" s="1">
        <f t="shared" si="31"/>
        <v>0</v>
      </c>
      <c r="O76" s="1">
        <f t="shared" si="31"/>
        <v>0</v>
      </c>
    </row>
    <row r="77" spans="3:15" ht="14.25" hidden="1" customHeight="1" x14ac:dyDescent="0.25">
      <c r="D77" s="1">
        <f t="shared" ref="D77:O77" si="32">$C77*D$51/100</f>
        <v>0</v>
      </c>
      <c r="E77" s="1">
        <f t="shared" si="32"/>
        <v>0</v>
      </c>
      <c r="F77" s="1">
        <f t="shared" si="32"/>
        <v>0</v>
      </c>
      <c r="G77" s="1">
        <f t="shared" si="32"/>
        <v>0</v>
      </c>
      <c r="H77" s="1">
        <f t="shared" si="32"/>
        <v>0</v>
      </c>
      <c r="I77" s="1">
        <f t="shared" si="32"/>
        <v>0</v>
      </c>
      <c r="J77" s="1">
        <f t="shared" si="32"/>
        <v>0</v>
      </c>
      <c r="K77" s="1">
        <f t="shared" si="32"/>
        <v>0</v>
      </c>
      <c r="L77" s="1">
        <f t="shared" si="32"/>
        <v>0</v>
      </c>
      <c r="M77" s="1">
        <f t="shared" si="32"/>
        <v>0</v>
      </c>
      <c r="N77" s="1">
        <f t="shared" si="32"/>
        <v>0</v>
      </c>
      <c r="O77" s="1">
        <f t="shared" si="32"/>
        <v>0</v>
      </c>
    </row>
    <row r="78" spans="3:15" ht="14.25" hidden="1" customHeight="1" x14ac:dyDescent="0.25">
      <c r="D78" s="1">
        <f t="shared" ref="D78:O78" si="33">$C78*D$51/100</f>
        <v>0</v>
      </c>
      <c r="E78" s="1">
        <f t="shared" si="33"/>
        <v>0</v>
      </c>
      <c r="F78" s="1">
        <f t="shared" si="33"/>
        <v>0</v>
      </c>
      <c r="G78" s="1">
        <f t="shared" si="33"/>
        <v>0</v>
      </c>
      <c r="H78" s="1">
        <f t="shared" si="33"/>
        <v>0</v>
      </c>
      <c r="I78" s="1">
        <f t="shared" si="33"/>
        <v>0</v>
      </c>
      <c r="J78" s="1">
        <f t="shared" si="33"/>
        <v>0</v>
      </c>
      <c r="K78" s="1">
        <f t="shared" si="33"/>
        <v>0</v>
      </c>
      <c r="L78" s="1">
        <f t="shared" si="33"/>
        <v>0</v>
      </c>
      <c r="M78" s="1">
        <f t="shared" si="33"/>
        <v>0</v>
      </c>
      <c r="N78" s="1">
        <f t="shared" si="33"/>
        <v>0</v>
      </c>
      <c r="O78" s="1">
        <f t="shared" si="33"/>
        <v>0</v>
      </c>
    </row>
    <row r="79" spans="3:15" ht="14.25" hidden="1" customHeight="1" x14ac:dyDescent="0.25">
      <c r="D79" s="1">
        <f t="shared" ref="D79:O79" si="34">$C79*D$51/100</f>
        <v>0</v>
      </c>
      <c r="E79" s="1">
        <f t="shared" si="34"/>
        <v>0</v>
      </c>
      <c r="F79" s="1">
        <f t="shared" si="34"/>
        <v>0</v>
      </c>
      <c r="G79" s="1">
        <f t="shared" si="34"/>
        <v>0</v>
      </c>
      <c r="H79" s="1">
        <f t="shared" si="34"/>
        <v>0</v>
      </c>
      <c r="I79" s="1">
        <f t="shared" si="34"/>
        <v>0</v>
      </c>
      <c r="J79" s="1">
        <f t="shared" si="34"/>
        <v>0</v>
      </c>
      <c r="K79" s="1">
        <f t="shared" si="34"/>
        <v>0</v>
      </c>
      <c r="L79" s="1">
        <f t="shared" si="34"/>
        <v>0</v>
      </c>
      <c r="M79" s="1">
        <f t="shared" si="34"/>
        <v>0</v>
      </c>
      <c r="N79" s="1">
        <f t="shared" si="34"/>
        <v>0</v>
      </c>
      <c r="O79" s="1">
        <f t="shared" si="34"/>
        <v>0</v>
      </c>
    </row>
    <row r="80" spans="3:15" ht="14.25" hidden="1" customHeight="1" x14ac:dyDescent="0.25">
      <c r="D80" s="1">
        <f t="shared" ref="D80:O80" si="35">$C80*D$51/100</f>
        <v>0</v>
      </c>
      <c r="E80" s="1">
        <f t="shared" si="35"/>
        <v>0</v>
      </c>
      <c r="F80" s="1">
        <f t="shared" si="35"/>
        <v>0</v>
      </c>
      <c r="G80" s="1">
        <f t="shared" si="35"/>
        <v>0</v>
      </c>
      <c r="H80" s="1">
        <f t="shared" si="35"/>
        <v>0</v>
      </c>
      <c r="I80" s="1">
        <f t="shared" si="35"/>
        <v>0</v>
      </c>
      <c r="J80" s="1">
        <f t="shared" si="35"/>
        <v>0</v>
      </c>
      <c r="K80" s="1">
        <f t="shared" si="35"/>
        <v>0</v>
      </c>
      <c r="L80" s="1">
        <f t="shared" si="35"/>
        <v>0</v>
      </c>
      <c r="M80" s="1">
        <f t="shared" si="35"/>
        <v>0</v>
      </c>
      <c r="N80" s="1">
        <f t="shared" si="35"/>
        <v>0</v>
      </c>
      <c r="O80" s="1">
        <f t="shared" si="35"/>
        <v>0</v>
      </c>
    </row>
    <row r="81" spans="4:15" ht="14.25" hidden="1" customHeight="1" x14ac:dyDescent="0.25">
      <c r="D81" s="1">
        <f t="shared" ref="D81:O81" si="36">$C81*D$51/100</f>
        <v>0</v>
      </c>
      <c r="E81" s="1">
        <f t="shared" si="36"/>
        <v>0</v>
      </c>
      <c r="F81" s="1">
        <f t="shared" si="36"/>
        <v>0</v>
      </c>
      <c r="G81" s="1">
        <f t="shared" si="36"/>
        <v>0</v>
      </c>
      <c r="H81" s="1">
        <f t="shared" si="36"/>
        <v>0</v>
      </c>
      <c r="I81" s="1">
        <f t="shared" si="36"/>
        <v>0</v>
      </c>
      <c r="J81" s="1">
        <f t="shared" si="36"/>
        <v>0</v>
      </c>
      <c r="K81" s="1">
        <f t="shared" si="36"/>
        <v>0</v>
      </c>
      <c r="L81" s="1">
        <f t="shared" si="36"/>
        <v>0</v>
      </c>
      <c r="M81" s="1">
        <f t="shared" si="36"/>
        <v>0</v>
      </c>
      <c r="N81" s="1">
        <f t="shared" si="36"/>
        <v>0</v>
      </c>
      <c r="O81" s="1">
        <f t="shared" si="36"/>
        <v>0</v>
      </c>
    </row>
    <row r="82" spans="4:15" ht="14.25" hidden="1" customHeight="1" x14ac:dyDescent="0.25">
      <c r="D82" s="1">
        <f t="shared" ref="D82:O82" si="37">$C82*D$51/100</f>
        <v>0</v>
      </c>
      <c r="E82" s="1">
        <f t="shared" si="37"/>
        <v>0</v>
      </c>
      <c r="F82" s="1">
        <f t="shared" si="37"/>
        <v>0</v>
      </c>
      <c r="G82" s="1">
        <f t="shared" si="37"/>
        <v>0</v>
      </c>
      <c r="H82" s="1">
        <f t="shared" si="37"/>
        <v>0</v>
      </c>
      <c r="I82" s="1">
        <f t="shared" si="37"/>
        <v>0</v>
      </c>
      <c r="J82" s="1">
        <f t="shared" si="37"/>
        <v>0</v>
      </c>
      <c r="K82" s="1">
        <f t="shared" si="37"/>
        <v>0</v>
      </c>
      <c r="L82" s="1">
        <f t="shared" si="37"/>
        <v>0</v>
      </c>
      <c r="M82" s="1">
        <f t="shared" si="37"/>
        <v>0</v>
      </c>
      <c r="N82" s="1">
        <f t="shared" si="37"/>
        <v>0</v>
      </c>
      <c r="O82" s="1">
        <f t="shared" si="37"/>
        <v>0</v>
      </c>
    </row>
    <row r="83" spans="4:15" ht="14.25" hidden="1" customHeight="1" x14ac:dyDescent="0.25">
      <c r="D83" s="1">
        <f t="shared" ref="D83:O83" si="38">$C83*D$51/100</f>
        <v>0</v>
      </c>
      <c r="E83" s="1">
        <f t="shared" si="38"/>
        <v>0</v>
      </c>
      <c r="F83" s="1">
        <f t="shared" si="38"/>
        <v>0</v>
      </c>
      <c r="G83" s="1">
        <f t="shared" si="38"/>
        <v>0</v>
      </c>
      <c r="H83" s="1">
        <f t="shared" si="38"/>
        <v>0</v>
      </c>
      <c r="I83" s="1">
        <f t="shared" si="38"/>
        <v>0</v>
      </c>
      <c r="J83" s="1">
        <f t="shared" si="38"/>
        <v>0</v>
      </c>
      <c r="K83" s="1">
        <f t="shared" si="38"/>
        <v>0</v>
      </c>
      <c r="L83" s="1">
        <f t="shared" si="38"/>
        <v>0</v>
      </c>
      <c r="M83" s="1">
        <f t="shared" si="38"/>
        <v>0</v>
      </c>
      <c r="N83" s="1">
        <f t="shared" si="38"/>
        <v>0</v>
      </c>
      <c r="O83" s="1">
        <f t="shared" si="38"/>
        <v>0</v>
      </c>
    </row>
    <row r="84" spans="4:15" ht="14.25" hidden="1" customHeight="1" x14ac:dyDescent="0.25">
      <c r="D84" s="1">
        <f t="shared" ref="D84:O84" si="39">$C84*D$51/100</f>
        <v>0</v>
      </c>
      <c r="E84" s="1">
        <f t="shared" si="39"/>
        <v>0</v>
      </c>
      <c r="F84" s="1">
        <f t="shared" si="39"/>
        <v>0</v>
      </c>
      <c r="G84" s="1">
        <f t="shared" si="39"/>
        <v>0</v>
      </c>
      <c r="H84" s="1">
        <f t="shared" si="39"/>
        <v>0</v>
      </c>
      <c r="I84" s="1">
        <f t="shared" si="39"/>
        <v>0</v>
      </c>
      <c r="J84" s="1">
        <f t="shared" si="39"/>
        <v>0</v>
      </c>
      <c r="K84" s="1">
        <f t="shared" si="39"/>
        <v>0</v>
      </c>
      <c r="L84" s="1">
        <f t="shared" si="39"/>
        <v>0</v>
      </c>
      <c r="M84" s="1">
        <f t="shared" si="39"/>
        <v>0</v>
      </c>
      <c r="N84" s="1">
        <f t="shared" si="39"/>
        <v>0</v>
      </c>
      <c r="O84" s="1">
        <f t="shared" si="39"/>
        <v>0</v>
      </c>
    </row>
    <row r="85" spans="4:15" ht="14.25" hidden="1" customHeight="1" x14ac:dyDescent="0.25">
      <c r="D85" s="1">
        <f t="shared" ref="D85:O85" si="40">$C85*D$51/100</f>
        <v>0</v>
      </c>
      <c r="E85" s="1">
        <f t="shared" si="40"/>
        <v>0</v>
      </c>
      <c r="F85" s="1">
        <f t="shared" si="40"/>
        <v>0</v>
      </c>
      <c r="G85" s="1">
        <f t="shared" si="40"/>
        <v>0</v>
      </c>
      <c r="H85" s="1">
        <f t="shared" si="40"/>
        <v>0</v>
      </c>
      <c r="I85" s="1">
        <f t="shared" si="40"/>
        <v>0</v>
      </c>
      <c r="J85" s="1">
        <f t="shared" si="40"/>
        <v>0</v>
      </c>
      <c r="K85" s="1">
        <f t="shared" si="40"/>
        <v>0</v>
      </c>
      <c r="L85" s="1">
        <f t="shared" si="40"/>
        <v>0</v>
      </c>
      <c r="M85" s="1">
        <f t="shared" si="40"/>
        <v>0</v>
      </c>
      <c r="N85" s="1">
        <f t="shared" si="40"/>
        <v>0</v>
      </c>
      <c r="O85" s="1">
        <f t="shared" si="40"/>
        <v>0</v>
      </c>
    </row>
    <row r="86" spans="4:15" ht="14.25" hidden="1" customHeight="1" x14ac:dyDescent="0.25">
      <c r="D86" s="1">
        <f t="shared" ref="D86:O86" si="41">$C86*D$51/100</f>
        <v>0</v>
      </c>
      <c r="E86" s="1">
        <f t="shared" si="41"/>
        <v>0</v>
      </c>
      <c r="F86" s="1">
        <f t="shared" si="41"/>
        <v>0</v>
      </c>
      <c r="G86" s="1">
        <f t="shared" si="41"/>
        <v>0</v>
      </c>
      <c r="H86" s="1">
        <f t="shared" si="41"/>
        <v>0</v>
      </c>
      <c r="I86" s="1">
        <f t="shared" si="41"/>
        <v>0</v>
      </c>
      <c r="J86" s="1">
        <f t="shared" si="41"/>
        <v>0</v>
      </c>
      <c r="K86" s="1">
        <f t="shared" si="41"/>
        <v>0</v>
      </c>
      <c r="L86" s="1">
        <f t="shared" si="41"/>
        <v>0</v>
      </c>
      <c r="M86" s="1">
        <f t="shared" si="41"/>
        <v>0</v>
      </c>
      <c r="N86" s="1">
        <f t="shared" si="41"/>
        <v>0</v>
      </c>
      <c r="O86" s="1">
        <f t="shared" si="41"/>
        <v>0</v>
      </c>
    </row>
    <row r="87" spans="4:15" ht="14.25" hidden="1" customHeight="1" x14ac:dyDescent="0.25">
      <c r="D87" s="1">
        <f t="shared" ref="D87:O87" si="42">$C87*D$51/100</f>
        <v>0</v>
      </c>
      <c r="E87" s="1">
        <f t="shared" si="42"/>
        <v>0</v>
      </c>
      <c r="F87" s="1">
        <f t="shared" si="42"/>
        <v>0</v>
      </c>
      <c r="G87" s="1">
        <f t="shared" si="42"/>
        <v>0</v>
      </c>
      <c r="H87" s="1">
        <f t="shared" si="42"/>
        <v>0</v>
      </c>
      <c r="I87" s="1">
        <f t="shared" si="42"/>
        <v>0</v>
      </c>
      <c r="J87" s="1">
        <f t="shared" si="42"/>
        <v>0</v>
      </c>
      <c r="K87" s="1">
        <f t="shared" si="42"/>
        <v>0</v>
      </c>
      <c r="L87" s="1">
        <f t="shared" si="42"/>
        <v>0</v>
      </c>
      <c r="M87" s="1">
        <f t="shared" si="42"/>
        <v>0</v>
      </c>
      <c r="N87" s="1">
        <f t="shared" si="42"/>
        <v>0</v>
      </c>
      <c r="O87" s="1">
        <f t="shared" si="42"/>
        <v>0</v>
      </c>
    </row>
    <row r="88" spans="4:15" ht="14.25" hidden="1" customHeight="1" x14ac:dyDescent="0.25">
      <c r="D88" s="1">
        <f t="shared" ref="D88:O88" si="43">$C88*D$51/100</f>
        <v>0</v>
      </c>
      <c r="E88" s="1">
        <f t="shared" si="43"/>
        <v>0</v>
      </c>
      <c r="F88" s="1">
        <f t="shared" si="43"/>
        <v>0</v>
      </c>
      <c r="G88" s="1">
        <f t="shared" si="43"/>
        <v>0</v>
      </c>
      <c r="H88" s="1">
        <f t="shared" si="43"/>
        <v>0</v>
      </c>
      <c r="I88" s="1">
        <f t="shared" si="43"/>
        <v>0</v>
      </c>
      <c r="J88" s="1">
        <f t="shared" si="43"/>
        <v>0</v>
      </c>
      <c r="K88" s="1">
        <f t="shared" si="43"/>
        <v>0</v>
      </c>
      <c r="L88" s="1">
        <f t="shared" si="43"/>
        <v>0</v>
      </c>
      <c r="M88" s="1">
        <f t="shared" si="43"/>
        <v>0</v>
      </c>
      <c r="N88" s="1">
        <f t="shared" si="43"/>
        <v>0</v>
      </c>
      <c r="O88" s="1">
        <f t="shared" si="43"/>
        <v>0</v>
      </c>
    </row>
    <row r="89" spans="4:15" ht="14.25" hidden="1" customHeight="1" x14ac:dyDescent="0.25">
      <c r="D89" s="1">
        <f t="shared" ref="D89:O89" si="44">$C89*D$51/100</f>
        <v>0</v>
      </c>
      <c r="E89" s="1">
        <f t="shared" si="44"/>
        <v>0</v>
      </c>
      <c r="F89" s="1">
        <f t="shared" si="44"/>
        <v>0</v>
      </c>
      <c r="G89" s="1">
        <f t="shared" si="44"/>
        <v>0</v>
      </c>
      <c r="H89" s="1">
        <f t="shared" si="44"/>
        <v>0</v>
      </c>
      <c r="I89" s="1">
        <f t="shared" si="44"/>
        <v>0</v>
      </c>
      <c r="J89" s="1">
        <f t="shared" si="44"/>
        <v>0</v>
      </c>
      <c r="K89" s="1">
        <f t="shared" si="44"/>
        <v>0</v>
      </c>
      <c r="L89" s="1">
        <f t="shared" si="44"/>
        <v>0</v>
      </c>
      <c r="M89" s="1">
        <f t="shared" si="44"/>
        <v>0</v>
      </c>
      <c r="N89" s="1">
        <f t="shared" si="44"/>
        <v>0</v>
      </c>
      <c r="O89" s="1">
        <f t="shared" si="44"/>
        <v>0</v>
      </c>
    </row>
    <row r="90" spans="4:15" ht="14.25" hidden="1" customHeight="1" x14ac:dyDescent="0.25">
      <c r="D90" s="1">
        <f t="shared" ref="D90:O90" si="45">$C90*D$51/100</f>
        <v>0</v>
      </c>
      <c r="E90" s="1">
        <f t="shared" si="45"/>
        <v>0</v>
      </c>
      <c r="F90" s="1">
        <f t="shared" si="45"/>
        <v>0</v>
      </c>
      <c r="G90" s="1">
        <f t="shared" si="45"/>
        <v>0</v>
      </c>
      <c r="H90" s="1">
        <f t="shared" si="45"/>
        <v>0</v>
      </c>
      <c r="I90" s="1">
        <f t="shared" si="45"/>
        <v>0</v>
      </c>
      <c r="J90" s="1">
        <f t="shared" si="45"/>
        <v>0</v>
      </c>
      <c r="K90" s="1">
        <f t="shared" si="45"/>
        <v>0</v>
      </c>
      <c r="L90" s="1">
        <f t="shared" si="45"/>
        <v>0</v>
      </c>
      <c r="M90" s="1">
        <f t="shared" si="45"/>
        <v>0</v>
      </c>
      <c r="N90" s="1">
        <f t="shared" si="45"/>
        <v>0</v>
      </c>
      <c r="O90" s="1">
        <f t="shared" si="45"/>
        <v>0</v>
      </c>
    </row>
    <row r="91" spans="4:15" ht="14.25" hidden="1" customHeight="1" x14ac:dyDescent="0.25">
      <c r="D91" s="1">
        <f t="shared" ref="D91:O91" si="46">$C91*D$51/100</f>
        <v>0</v>
      </c>
      <c r="E91" s="1">
        <f t="shared" si="46"/>
        <v>0</v>
      </c>
      <c r="F91" s="1">
        <f t="shared" si="46"/>
        <v>0</v>
      </c>
      <c r="G91" s="1">
        <f t="shared" si="46"/>
        <v>0</v>
      </c>
      <c r="H91" s="1">
        <f t="shared" si="46"/>
        <v>0</v>
      </c>
      <c r="I91" s="1">
        <f t="shared" si="46"/>
        <v>0</v>
      </c>
      <c r="J91" s="1">
        <f t="shared" si="46"/>
        <v>0</v>
      </c>
      <c r="K91" s="1">
        <f t="shared" si="46"/>
        <v>0</v>
      </c>
      <c r="L91" s="1">
        <f t="shared" si="46"/>
        <v>0</v>
      </c>
      <c r="M91" s="1">
        <f t="shared" si="46"/>
        <v>0</v>
      </c>
      <c r="N91" s="1">
        <f t="shared" si="46"/>
        <v>0</v>
      </c>
      <c r="O91" s="1">
        <f t="shared" si="46"/>
        <v>0</v>
      </c>
    </row>
    <row r="92" spans="4:15" ht="14.25" hidden="1" customHeight="1" x14ac:dyDescent="0.25">
      <c r="D92" s="1">
        <f t="shared" ref="D92:O92" si="47">$C92*D$51/100</f>
        <v>0</v>
      </c>
      <c r="E92" s="1">
        <f t="shared" si="47"/>
        <v>0</v>
      </c>
      <c r="F92" s="1">
        <f t="shared" si="47"/>
        <v>0</v>
      </c>
      <c r="G92" s="1">
        <f t="shared" si="47"/>
        <v>0</v>
      </c>
      <c r="H92" s="1">
        <f t="shared" si="47"/>
        <v>0</v>
      </c>
      <c r="I92" s="1">
        <f t="shared" si="47"/>
        <v>0</v>
      </c>
      <c r="J92" s="1">
        <f t="shared" si="47"/>
        <v>0</v>
      </c>
      <c r="K92" s="1">
        <f t="shared" si="47"/>
        <v>0</v>
      </c>
      <c r="L92" s="1">
        <f t="shared" si="47"/>
        <v>0</v>
      </c>
      <c r="M92" s="1">
        <f t="shared" si="47"/>
        <v>0</v>
      </c>
      <c r="N92" s="1">
        <f t="shared" si="47"/>
        <v>0</v>
      </c>
      <c r="O92" s="1">
        <f t="shared" si="47"/>
        <v>0</v>
      </c>
    </row>
    <row r="93" spans="4:15" ht="14.25" hidden="1" customHeight="1" x14ac:dyDescent="0.25">
      <c r="D93" s="1">
        <f t="shared" ref="D93:O93" si="48">$C93*D$51/100</f>
        <v>0</v>
      </c>
      <c r="E93" s="1">
        <f t="shared" si="48"/>
        <v>0</v>
      </c>
      <c r="F93" s="1">
        <f t="shared" si="48"/>
        <v>0</v>
      </c>
      <c r="G93" s="1">
        <f t="shared" si="48"/>
        <v>0</v>
      </c>
      <c r="H93" s="1">
        <f t="shared" si="48"/>
        <v>0</v>
      </c>
      <c r="I93" s="1">
        <f t="shared" si="48"/>
        <v>0</v>
      </c>
      <c r="J93" s="1">
        <f t="shared" si="48"/>
        <v>0</v>
      </c>
      <c r="K93" s="1">
        <f t="shared" si="48"/>
        <v>0</v>
      </c>
      <c r="L93" s="1">
        <f t="shared" si="48"/>
        <v>0</v>
      </c>
      <c r="M93" s="1">
        <f t="shared" si="48"/>
        <v>0</v>
      </c>
      <c r="N93" s="1">
        <f t="shared" si="48"/>
        <v>0</v>
      </c>
      <c r="O93" s="1">
        <f t="shared" si="48"/>
        <v>0</v>
      </c>
    </row>
    <row r="94" spans="4:15" ht="14.25" hidden="1" customHeight="1" x14ac:dyDescent="0.25">
      <c r="D94" s="1">
        <f t="shared" ref="D94:O94" si="49">$C94*D$51/100</f>
        <v>0</v>
      </c>
      <c r="E94" s="1">
        <f t="shared" si="49"/>
        <v>0</v>
      </c>
      <c r="F94" s="1">
        <f t="shared" si="49"/>
        <v>0</v>
      </c>
      <c r="G94" s="1">
        <f t="shared" si="49"/>
        <v>0</v>
      </c>
      <c r="H94" s="1">
        <f t="shared" si="49"/>
        <v>0</v>
      </c>
      <c r="I94" s="1">
        <f t="shared" si="49"/>
        <v>0</v>
      </c>
      <c r="J94" s="1">
        <f t="shared" si="49"/>
        <v>0</v>
      </c>
      <c r="K94" s="1">
        <f t="shared" si="49"/>
        <v>0</v>
      </c>
      <c r="L94" s="1">
        <f t="shared" si="49"/>
        <v>0</v>
      </c>
      <c r="M94" s="1">
        <f t="shared" si="49"/>
        <v>0</v>
      </c>
      <c r="N94" s="1">
        <f t="shared" si="49"/>
        <v>0</v>
      </c>
      <c r="O94" s="1">
        <f t="shared" si="49"/>
        <v>0</v>
      </c>
    </row>
    <row r="95" spans="4:15" ht="14.25" hidden="1" customHeight="1" x14ac:dyDescent="0.25">
      <c r="D95" s="1">
        <f t="shared" ref="D95:O95" si="50">$C95*D$51/100</f>
        <v>0</v>
      </c>
      <c r="E95" s="1">
        <f t="shared" si="50"/>
        <v>0</v>
      </c>
      <c r="F95" s="1">
        <f t="shared" si="50"/>
        <v>0</v>
      </c>
      <c r="G95" s="1">
        <f t="shared" si="50"/>
        <v>0</v>
      </c>
      <c r="H95" s="1">
        <f t="shared" si="50"/>
        <v>0</v>
      </c>
      <c r="I95" s="1">
        <f t="shared" si="50"/>
        <v>0</v>
      </c>
      <c r="J95" s="1">
        <f t="shared" si="50"/>
        <v>0</v>
      </c>
      <c r="K95" s="1">
        <f t="shared" si="50"/>
        <v>0</v>
      </c>
      <c r="L95" s="1">
        <f t="shared" si="50"/>
        <v>0</v>
      </c>
      <c r="M95" s="1">
        <f t="shared" si="50"/>
        <v>0</v>
      </c>
      <c r="N95" s="1">
        <f t="shared" si="50"/>
        <v>0</v>
      </c>
      <c r="O95" s="1">
        <f t="shared" si="50"/>
        <v>0</v>
      </c>
    </row>
    <row r="96" spans="4:15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</sheetData>
  <mergeCells count="23">
    <mergeCell ref="A1:Q1"/>
    <mergeCell ref="A2:Q2"/>
    <mergeCell ref="A4:A5"/>
    <mergeCell ref="B4:B5"/>
    <mergeCell ref="C4:C5"/>
    <mergeCell ref="D4:O4"/>
    <mergeCell ref="P4:P5"/>
    <mergeCell ref="A48:B48"/>
    <mergeCell ref="U6:U8"/>
    <mergeCell ref="U9:U10"/>
    <mergeCell ref="V9:V10"/>
    <mergeCell ref="W9:W10"/>
    <mergeCell ref="X9:X10"/>
    <mergeCell ref="Y9:Y10"/>
    <mergeCell ref="Z9:Z10"/>
    <mergeCell ref="AA9:AA10"/>
    <mergeCell ref="Q4:Q5"/>
    <mergeCell ref="V6:V8"/>
    <mergeCell ref="W6:W8"/>
    <mergeCell ref="X6:X8"/>
    <mergeCell ref="Y6:Y8"/>
    <mergeCell ref="Z6:Z8"/>
    <mergeCell ref="AA6:AA8"/>
  </mergeCells>
  <printOptions horizontalCentered="1" verticalCentered="1"/>
  <pageMargins left="0.70866141732283472" right="0.70866141732283472" top="0.74803149606299213" bottom="0.74803149606299213" header="0" footer="0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  <pageSetUpPr fitToPage="1"/>
  </sheetPr>
  <dimension ref="A1:AA1001"/>
  <sheetViews>
    <sheetView topLeftCell="M1" workbookViewId="0">
      <selection activeCell="X21" sqref="X21"/>
    </sheetView>
  </sheetViews>
  <sheetFormatPr defaultColWidth="14.42578125" defaultRowHeight="15" customHeight="1" x14ac:dyDescent="0.25"/>
  <cols>
    <col min="1" max="1" width="4.140625" customWidth="1"/>
    <col min="2" max="3" width="15.85546875" customWidth="1"/>
    <col min="4" max="15" width="13.85546875" customWidth="1"/>
    <col min="16" max="16" width="11.5703125" customWidth="1"/>
    <col min="17" max="17" width="12.28515625" customWidth="1"/>
    <col min="18" max="20" width="8.7109375" customWidth="1"/>
    <col min="21" max="21" width="18.85546875" customWidth="1"/>
    <col min="22" max="27" width="17.42578125" customWidth="1"/>
  </cols>
  <sheetData>
    <row r="1" spans="1:27" ht="14.25" customHeight="1" x14ac:dyDescent="0.25">
      <c r="A1" s="92" t="s">
        <v>81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</row>
    <row r="2" spans="1:27" ht="14.25" customHeight="1" x14ac:dyDescent="0.25">
      <c r="A2" s="92" t="s">
        <v>2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</row>
    <row r="3" spans="1:27" ht="14.2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27" ht="14.25" customHeight="1" x14ac:dyDescent="0.25">
      <c r="A4" s="85" t="s">
        <v>3</v>
      </c>
      <c r="B4" s="85" t="s">
        <v>4</v>
      </c>
      <c r="C4" s="94" t="s">
        <v>82</v>
      </c>
      <c r="D4" s="95" t="s">
        <v>6</v>
      </c>
      <c r="E4" s="96"/>
      <c r="F4" s="96"/>
      <c r="G4" s="96"/>
      <c r="H4" s="96"/>
      <c r="I4" s="96"/>
      <c r="J4" s="96"/>
      <c r="K4" s="96"/>
      <c r="L4" s="96"/>
      <c r="M4" s="96"/>
      <c r="N4" s="96"/>
      <c r="O4" s="89"/>
      <c r="P4" s="94" t="s">
        <v>7</v>
      </c>
      <c r="Q4" s="85" t="s">
        <v>8</v>
      </c>
    </row>
    <row r="5" spans="1:27" ht="24" customHeight="1" x14ac:dyDescent="0.25">
      <c r="A5" s="83"/>
      <c r="B5" s="83"/>
      <c r="C5" s="83"/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0</v>
      </c>
      <c r="M5" s="3" t="s">
        <v>17</v>
      </c>
      <c r="N5" s="3" t="s">
        <v>18</v>
      </c>
      <c r="O5" s="3" t="s">
        <v>19</v>
      </c>
      <c r="P5" s="83"/>
      <c r="Q5" s="83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4.25" customHeight="1" x14ac:dyDescent="0.25">
      <c r="A6" s="6">
        <v>1</v>
      </c>
      <c r="B6" s="7" t="s">
        <v>20</v>
      </c>
      <c r="C6" s="32">
        <v>124</v>
      </c>
      <c r="D6" s="69">
        <v>0</v>
      </c>
      <c r="E6" s="69">
        <f t="shared" ref="E6:E47" si="0">SUM(D54:E54)</f>
        <v>5.1629999999999994</v>
      </c>
      <c r="F6" s="70">
        <v>8.6050000000000004</v>
      </c>
      <c r="G6" s="71">
        <v>17.21</v>
      </c>
      <c r="H6" s="71">
        <v>25.815000000000001</v>
      </c>
      <c r="I6" s="54">
        <v>43.024999999999999</v>
      </c>
      <c r="J6" s="54">
        <v>36.140999999999998</v>
      </c>
      <c r="K6" s="54">
        <v>13.767999999999999</v>
      </c>
      <c r="L6" s="54">
        <v>12.047000000000001</v>
      </c>
      <c r="M6" s="56"/>
      <c r="N6" s="69"/>
      <c r="O6" s="56"/>
      <c r="P6" s="32">
        <f t="shared" ref="P6:P47" si="1">SUM(D6:O6)</f>
        <v>161.774</v>
      </c>
      <c r="Q6" s="38">
        <f t="shared" ref="Q6:Q13" si="2">P6/C6</f>
        <v>1.3046290322580645</v>
      </c>
      <c r="S6" s="12"/>
      <c r="U6" s="90"/>
      <c r="V6" s="86"/>
      <c r="W6" s="86"/>
      <c r="X6" s="86"/>
      <c r="Y6" s="86"/>
      <c r="Z6" s="86"/>
      <c r="AA6" s="86"/>
    </row>
    <row r="7" spans="1:27" ht="14.25" customHeight="1" x14ac:dyDescent="0.25">
      <c r="A7" s="13">
        <v>2</v>
      </c>
      <c r="B7" s="14" t="s">
        <v>25</v>
      </c>
      <c r="C7" s="34">
        <v>238</v>
      </c>
      <c r="D7" s="72">
        <v>0</v>
      </c>
      <c r="E7" s="72">
        <f t="shared" si="0"/>
        <v>6.2520000000000007</v>
      </c>
      <c r="F7" s="73">
        <v>10.42</v>
      </c>
      <c r="G7" s="74">
        <v>20.84</v>
      </c>
      <c r="H7" s="74">
        <v>31.26</v>
      </c>
      <c r="I7" s="58">
        <v>52.1</v>
      </c>
      <c r="J7" s="58">
        <v>43.764000000000003</v>
      </c>
      <c r="K7" s="58">
        <v>16.672000000000001</v>
      </c>
      <c r="L7" s="58">
        <v>14.587999999999999</v>
      </c>
      <c r="M7" s="60"/>
      <c r="N7" s="72"/>
      <c r="O7" s="60"/>
      <c r="P7" s="34">
        <f t="shared" si="1"/>
        <v>195.89600000000002</v>
      </c>
      <c r="Q7" s="40">
        <f t="shared" si="2"/>
        <v>0.82309243697478995</v>
      </c>
      <c r="S7" s="12"/>
      <c r="U7" s="87"/>
      <c r="V7" s="87"/>
      <c r="W7" s="87"/>
      <c r="X7" s="87"/>
      <c r="Y7" s="87"/>
      <c r="Z7" s="87"/>
      <c r="AA7" s="87"/>
    </row>
    <row r="8" spans="1:27" ht="14.25" customHeight="1" x14ac:dyDescent="0.25">
      <c r="A8" s="13">
        <v>3</v>
      </c>
      <c r="B8" s="14" t="s">
        <v>26</v>
      </c>
      <c r="C8" s="34">
        <v>121</v>
      </c>
      <c r="D8" s="72">
        <v>0</v>
      </c>
      <c r="E8" s="72">
        <f t="shared" si="0"/>
        <v>5.3010000000000002</v>
      </c>
      <c r="F8" s="73">
        <v>8.8350000000000009</v>
      </c>
      <c r="G8" s="74">
        <v>17.670000000000002</v>
      </c>
      <c r="H8" s="74">
        <v>26.504999999999999</v>
      </c>
      <c r="I8" s="58">
        <v>44.174999999999997</v>
      </c>
      <c r="J8" s="58">
        <v>37.106999999999999</v>
      </c>
      <c r="K8" s="58">
        <v>14.135999999999999</v>
      </c>
      <c r="L8" s="58">
        <v>12.368999999999998</v>
      </c>
      <c r="M8" s="60"/>
      <c r="N8" s="72"/>
      <c r="O8" s="60"/>
      <c r="P8" s="34">
        <f t="shared" si="1"/>
        <v>166.09800000000001</v>
      </c>
      <c r="Q8" s="40">
        <f t="shared" si="2"/>
        <v>1.372710743801653</v>
      </c>
      <c r="S8" s="12"/>
      <c r="U8" s="83"/>
      <c r="V8" s="83"/>
      <c r="W8" s="83"/>
      <c r="X8" s="83"/>
      <c r="Y8" s="83"/>
      <c r="Z8" s="83"/>
      <c r="AA8" s="83"/>
    </row>
    <row r="9" spans="1:27" ht="14.25" customHeight="1" x14ac:dyDescent="0.25">
      <c r="A9" s="13">
        <v>4</v>
      </c>
      <c r="B9" s="14" t="s">
        <v>27</v>
      </c>
      <c r="C9" s="34">
        <v>31</v>
      </c>
      <c r="D9" s="72">
        <v>0</v>
      </c>
      <c r="E9" s="72">
        <f t="shared" si="0"/>
        <v>1.2108000000000001</v>
      </c>
      <c r="F9" s="73">
        <v>2.0180000000000002</v>
      </c>
      <c r="G9" s="74">
        <v>4.0360000000000005</v>
      </c>
      <c r="H9" s="74">
        <v>6.0539999999999994</v>
      </c>
      <c r="I9" s="58">
        <v>10.09</v>
      </c>
      <c r="J9" s="58">
        <v>8.4756</v>
      </c>
      <c r="K9" s="58">
        <v>3.2288000000000001</v>
      </c>
      <c r="L9" s="58">
        <v>2.8251999999999997</v>
      </c>
      <c r="M9" s="60"/>
      <c r="N9" s="72"/>
      <c r="O9" s="60"/>
      <c r="P9" s="34">
        <f t="shared" si="1"/>
        <v>37.938400000000001</v>
      </c>
      <c r="Q9" s="40">
        <f t="shared" si="2"/>
        <v>1.2238193548387097</v>
      </c>
      <c r="S9" s="12"/>
      <c r="U9" s="91"/>
      <c r="V9" s="84"/>
      <c r="W9" s="84"/>
      <c r="X9" s="82"/>
      <c r="Y9" s="84"/>
      <c r="Z9" s="84"/>
      <c r="AA9" s="82"/>
    </row>
    <row r="10" spans="1:27" ht="14.25" customHeight="1" x14ac:dyDescent="0.25">
      <c r="A10" s="13">
        <v>5</v>
      </c>
      <c r="B10" s="14" t="s">
        <v>28</v>
      </c>
      <c r="C10" s="34">
        <v>61</v>
      </c>
      <c r="D10" s="72">
        <v>0</v>
      </c>
      <c r="E10" s="72">
        <f t="shared" si="0"/>
        <v>1.5231000000000001</v>
      </c>
      <c r="F10" s="73">
        <v>2.5385000000000004</v>
      </c>
      <c r="G10" s="74">
        <v>5.0770000000000008</v>
      </c>
      <c r="H10" s="74">
        <v>7.6155000000000008</v>
      </c>
      <c r="I10" s="58">
        <v>12.692500000000001</v>
      </c>
      <c r="J10" s="58">
        <v>10.661700000000002</v>
      </c>
      <c r="K10" s="58">
        <v>4.0616000000000003</v>
      </c>
      <c r="L10" s="58">
        <v>3.5539000000000005</v>
      </c>
      <c r="M10" s="60"/>
      <c r="N10" s="72"/>
      <c r="O10" s="60"/>
      <c r="P10" s="34">
        <f t="shared" si="1"/>
        <v>47.723800000000004</v>
      </c>
      <c r="Q10" s="40">
        <f t="shared" si="2"/>
        <v>0.7823573770491804</v>
      </c>
      <c r="S10" s="12"/>
      <c r="U10" s="83"/>
      <c r="V10" s="83"/>
      <c r="W10" s="83"/>
      <c r="X10" s="83"/>
      <c r="Y10" s="83"/>
      <c r="Z10" s="83"/>
      <c r="AA10" s="83"/>
    </row>
    <row r="11" spans="1:27" ht="14.25" customHeight="1" x14ac:dyDescent="0.25">
      <c r="A11" s="13">
        <v>6</v>
      </c>
      <c r="B11" s="14" t="s">
        <v>29</v>
      </c>
      <c r="C11" s="34">
        <v>328</v>
      </c>
      <c r="D11" s="72">
        <v>0</v>
      </c>
      <c r="E11" s="72">
        <f t="shared" si="0"/>
        <v>12.741</v>
      </c>
      <c r="F11" s="73">
        <v>21.234999999999999</v>
      </c>
      <c r="G11" s="74">
        <v>42.47</v>
      </c>
      <c r="H11" s="74">
        <v>63.704999999999998</v>
      </c>
      <c r="I11" s="58">
        <v>106.175</v>
      </c>
      <c r="J11" s="58">
        <v>89.186999999999983</v>
      </c>
      <c r="K11" s="58">
        <v>33.975999999999999</v>
      </c>
      <c r="L11" s="58">
        <v>29.728999999999999</v>
      </c>
      <c r="M11" s="60"/>
      <c r="N11" s="72"/>
      <c r="O11" s="60"/>
      <c r="P11" s="34">
        <f t="shared" si="1"/>
        <v>399.21800000000002</v>
      </c>
      <c r="Q11" s="40">
        <f t="shared" si="2"/>
        <v>1.2171280487804879</v>
      </c>
      <c r="S11" s="12"/>
    </row>
    <row r="12" spans="1:27" ht="14.25" customHeight="1" x14ac:dyDescent="0.25">
      <c r="A12" s="13">
        <v>7</v>
      </c>
      <c r="B12" s="14" t="s">
        <v>30</v>
      </c>
      <c r="C12" s="34">
        <v>229</v>
      </c>
      <c r="D12" s="72">
        <v>0</v>
      </c>
      <c r="E12" s="72">
        <f t="shared" si="0"/>
        <v>13.323</v>
      </c>
      <c r="F12" s="73">
        <v>22.204999999999998</v>
      </c>
      <c r="G12" s="74">
        <v>44.41</v>
      </c>
      <c r="H12" s="74">
        <v>66.614999999999995</v>
      </c>
      <c r="I12" s="58">
        <v>111.02500000000001</v>
      </c>
      <c r="J12" s="58">
        <v>93.26100000000001</v>
      </c>
      <c r="K12" s="58">
        <v>35.527999999999999</v>
      </c>
      <c r="L12" s="58">
        <v>31.087000000000003</v>
      </c>
      <c r="M12" s="60"/>
      <c r="N12" s="72"/>
      <c r="O12" s="60"/>
      <c r="P12" s="34">
        <f t="shared" si="1"/>
        <v>417.45400000000001</v>
      </c>
      <c r="Q12" s="40">
        <f t="shared" si="2"/>
        <v>1.8229432314410481</v>
      </c>
      <c r="S12" s="12"/>
      <c r="V12" s="12"/>
      <c r="W12" s="12"/>
      <c r="X12" s="12"/>
      <c r="Y12" s="12"/>
      <c r="Z12" s="12"/>
      <c r="AA12" s="12"/>
    </row>
    <row r="13" spans="1:27" ht="14.25" customHeight="1" x14ac:dyDescent="0.25">
      <c r="A13" s="13">
        <v>8</v>
      </c>
      <c r="B13" s="14" t="s">
        <v>31</v>
      </c>
      <c r="C13" s="34">
        <v>25</v>
      </c>
      <c r="D13" s="72">
        <v>0</v>
      </c>
      <c r="E13" s="72">
        <f t="shared" si="0"/>
        <v>0.92999999999999994</v>
      </c>
      <c r="F13" s="73">
        <v>1.55</v>
      </c>
      <c r="G13" s="74">
        <v>3.1</v>
      </c>
      <c r="H13" s="74">
        <v>4.6500000000000004</v>
      </c>
      <c r="I13" s="58">
        <v>7.75</v>
      </c>
      <c r="J13" s="58">
        <v>6.51</v>
      </c>
      <c r="K13" s="58">
        <v>2.48</v>
      </c>
      <c r="L13" s="58">
        <v>2.17</v>
      </c>
      <c r="M13" s="60"/>
      <c r="N13" s="72"/>
      <c r="O13" s="60"/>
      <c r="P13" s="34">
        <f t="shared" si="1"/>
        <v>29.14</v>
      </c>
      <c r="Q13" s="40">
        <f t="shared" si="2"/>
        <v>1.1656</v>
      </c>
      <c r="S13" s="12"/>
    </row>
    <row r="14" spans="1:27" ht="14.25" customHeight="1" x14ac:dyDescent="0.25">
      <c r="A14" s="13">
        <v>9</v>
      </c>
      <c r="B14" s="14" t="s">
        <v>32</v>
      </c>
      <c r="C14" s="34">
        <v>0</v>
      </c>
      <c r="D14" s="72">
        <v>0</v>
      </c>
      <c r="E14" s="72">
        <f t="shared" si="0"/>
        <v>0</v>
      </c>
      <c r="F14" s="73">
        <v>0</v>
      </c>
      <c r="G14" s="74">
        <v>0</v>
      </c>
      <c r="H14" s="74">
        <v>0</v>
      </c>
      <c r="I14" s="58">
        <v>0</v>
      </c>
      <c r="J14" s="58">
        <v>0</v>
      </c>
      <c r="K14" s="58">
        <v>0</v>
      </c>
      <c r="L14" s="58">
        <v>0</v>
      </c>
      <c r="M14" s="60"/>
      <c r="N14" s="72"/>
      <c r="O14" s="60"/>
      <c r="P14" s="34">
        <f t="shared" si="1"/>
        <v>0</v>
      </c>
      <c r="Q14" s="40" t="s">
        <v>77</v>
      </c>
      <c r="S14" s="12"/>
    </row>
    <row r="15" spans="1:27" ht="14.25" customHeight="1" x14ac:dyDescent="0.25">
      <c r="A15" s="13">
        <v>10</v>
      </c>
      <c r="B15" s="14" t="s">
        <v>33</v>
      </c>
      <c r="C15" s="34">
        <v>8</v>
      </c>
      <c r="D15" s="72">
        <v>0</v>
      </c>
      <c r="E15" s="72">
        <f t="shared" si="0"/>
        <v>0.25770000000000004</v>
      </c>
      <c r="F15" s="73">
        <v>0.42950000000000005</v>
      </c>
      <c r="G15" s="74">
        <v>0.8590000000000001</v>
      </c>
      <c r="H15" s="74">
        <v>1.2885</v>
      </c>
      <c r="I15" s="58">
        <v>2.1475</v>
      </c>
      <c r="J15" s="58">
        <v>1.8038999999999998</v>
      </c>
      <c r="K15" s="58">
        <v>0.68720000000000003</v>
      </c>
      <c r="L15" s="58">
        <v>0.60129999999999995</v>
      </c>
      <c r="M15" s="60"/>
      <c r="N15" s="72"/>
      <c r="O15" s="60"/>
      <c r="P15" s="34">
        <f t="shared" si="1"/>
        <v>8.0746000000000002</v>
      </c>
      <c r="Q15" s="40">
        <f t="shared" ref="Q15:Q29" si="3">P15/C15</f>
        <v>1.009325</v>
      </c>
      <c r="S15" s="12"/>
    </row>
    <row r="16" spans="1:27" ht="14.25" customHeight="1" x14ac:dyDescent="0.25">
      <c r="A16" s="13">
        <v>11</v>
      </c>
      <c r="B16" s="14" t="s">
        <v>34</v>
      </c>
      <c r="C16" s="34">
        <v>109</v>
      </c>
      <c r="D16" s="72">
        <v>0</v>
      </c>
      <c r="E16" s="72">
        <f t="shared" si="0"/>
        <v>3.96</v>
      </c>
      <c r="F16" s="73">
        <v>6.6</v>
      </c>
      <c r="G16" s="74">
        <v>13.2</v>
      </c>
      <c r="H16" s="74">
        <v>19.8</v>
      </c>
      <c r="I16" s="58">
        <v>33</v>
      </c>
      <c r="J16" s="58">
        <v>27.72</v>
      </c>
      <c r="K16" s="58">
        <v>10.56</v>
      </c>
      <c r="L16" s="58">
        <v>9.24</v>
      </c>
      <c r="M16" s="60"/>
      <c r="N16" s="72"/>
      <c r="O16" s="60"/>
      <c r="P16" s="34">
        <f t="shared" si="1"/>
        <v>124.08</v>
      </c>
      <c r="Q16" s="40">
        <f t="shared" si="3"/>
        <v>1.138348623853211</v>
      </c>
      <c r="S16" s="12"/>
    </row>
    <row r="17" spans="1:19" ht="14.25" customHeight="1" x14ac:dyDescent="0.25">
      <c r="A17" s="13">
        <v>12</v>
      </c>
      <c r="B17" s="14" t="s">
        <v>35</v>
      </c>
      <c r="C17" s="34">
        <v>12</v>
      </c>
      <c r="D17" s="72">
        <v>0</v>
      </c>
      <c r="E17" s="72">
        <f t="shared" si="0"/>
        <v>0.28800000000000003</v>
      </c>
      <c r="F17" s="73">
        <v>0.48</v>
      </c>
      <c r="G17" s="74">
        <v>0.96</v>
      </c>
      <c r="H17" s="74">
        <v>1.44</v>
      </c>
      <c r="I17" s="58">
        <v>2.4</v>
      </c>
      <c r="J17" s="58">
        <v>2.016</v>
      </c>
      <c r="K17" s="58">
        <v>0.76800000000000002</v>
      </c>
      <c r="L17" s="58">
        <v>0.67200000000000004</v>
      </c>
      <c r="M17" s="60"/>
      <c r="N17" s="72"/>
      <c r="O17" s="60"/>
      <c r="P17" s="34">
        <f t="shared" si="1"/>
        <v>9.0240000000000009</v>
      </c>
      <c r="Q17" s="40">
        <f t="shared" si="3"/>
        <v>0.75200000000000011</v>
      </c>
      <c r="S17" s="12"/>
    </row>
    <row r="18" spans="1:19" ht="14.25" customHeight="1" x14ac:dyDescent="0.25">
      <c r="A18" s="13">
        <v>13</v>
      </c>
      <c r="B18" s="14" t="s">
        <v>36</v>
      </c>
      <c r="C18" s="34">
        <v>25</v>
      </c>
      <c r="D18" s="72">
        <v>0</v>
      </c>
      <c r="E18" s="72">
        <f t="shared" si="0"/>
        <v>0.83099999999999996</v>
      </c>
      <c r="F18" s="73">
        <v>1.385</v>
      </c>
      <c r="G18" s="74">
        <v>2.77</v>
      </c>
      <c r="H18" s="74">
        <v>4.1550000000000002</v>
      </c>
      <c r="I18" s="58">
        <v>6.9249999999999998</v>
      </c>
      <c r="J18" s="58">
        <v>5.8169999999999993</v>
      </c>
      <c r="K18" s="58">
        <v>2.2159999999999997</v>
      </c>
      <c r="L18" s="58">
        <v>1.9390000000000001</v>
      </c>
      <c r="M18" s="60"/>
      <c r="N18" s="72"/>
      <c r="O18" s="60"/>
      <c r="P18" s="34">
        <f t="shared" si="1"/>
        <v>26.038000000000004</v>
      </c>
      <c r="Q18" s="40">
        <f t="shared" si="3"/>
        <v>1.0415200000000002</v>
      </c>
      <c r="S18" s="12"/>
    </row>
    <row r="19" spans="1:19" ht="14.25" customHeight="1" x14ac:dyDescent="0.25">
      <c r="A19" s="13">
        <v>14</v>
      </c>
      <c r="B19" s="14" t="s">
        <v>37</v>
      </c>
      <c r="C19" s="34">
        <v>9</v>
      </c>
      <c r="D19" s="72">
        <v>0</v>
      </c>
      <c r="E19" s="72">
        <f t="shared" si="0"/>
        <v>0.67530000000000001</v>
      </c>
      <c r="F19" s="73">
        <v>1.1255000000000002</v>
      </c>
      <c r="G19" s="74">
        <v>2.2510000000000003</v>
      </c>
      <c r="H19" s="74">
        <v>3.3765000000000005</v>
      </c>
      <c r="I19" s="58">
        <v>5.6275000000000004</v>
      </c>
      <c r="J19" s="58">
        <v>4.7271000000000001</v>
      </c>
      <c r="K19" s="58">
        <v>1.8008000000000002</v>
      </c>
      <c r="L19" s="58">
        <v>1.5757000000000003</v>
      </c>
      <c r="M19" s="60"/>
      <c r="N19" s="72"/>
      <c r="O19" s="60"/>
      <c r="P19" s="34">
        <f t="shared" si="1"/>
        <v>21.159400000000002</v>
      </c>
      <c r="Q19" s="40">
        <f t="shared" si="3"/>
        <v>2.3510444444444447</v>
      </c>
      <c r="S19" s="12"/>
    </row>
    <row r="20" spans="1:19" ht="14.25" customHeight="1" x14ac:dyDescent="0.25">
      <c r="A20" s="13">
        <v>15</v>
      </c>
      <c r="B20" s="14" t="s">
        <v>38</v>
      </c>
      <c r="C20" s="34">
        <v>500</v>
      </c>
      <c r="D20" s="72">
        <v>0</v>
      </c>
      <c r="E20" s="72">
        <f t="shared" si="0"/>
        <v>15.758999999999997</v>
      </c>
      <c r="F20" s="73">
        <v>26.265000000000001</v>
      </c>
      <c r="G20" s="74">
        <v>52.53</v>
      </c>
      <c r="H20" s="74">
        <v>78.794999999999987</v>
      </c>
      <c r="I20" s="58">
        <v>131.32499999999999</v>
      </c>
      <c r="J20" s="58">
        <v>110.31299999999999</v>
      </c>
      <c r="K20" s="58">
        <v>42.023999999999994</v>
      </c>
      <c r="L20" s="58">
        <v>36.770999999999994</v>
      </c>
      <c r="M20" s="60"/>
      <c r="N20" s="72"/>
      <c r="O20" s="60"/>
      <c r="P20" s="34">
        <f t="shared" si="1"/>
        <v>493.78199999999998</v>
      </c>
      <c r="Q20" s="40">
        <f t="shared" si="3"/>
        <v>0.987564</v>
      </c>
      <c r="S20" s="12"/>
    </row>
    <row r="21" spans="1:19" ht="14.25" customHeight="1" x14ac:dyDescent="0.25">
      <c r="A21" s="13">
        <v>16</v>
      </c>
      <c r="B21" s="14" t="s">
        <v>39</v>
      </c>
      <c r="C21" s="34">
        <v>22</v>
      </c>
      <c r="D21" s="72">
        <v>0</v>
      </c>
      <c r="E21" s="72">
        <f t="shared" si="0"/>
        <v>0.89700000000000002</v>
      </c>
      <c r="F21" s="73">
        <v>1.4950000000000001</v>
      </c>
      <c r="G21" s="74">
        <v>2.99</v>
      </c>
      <c r="H21" s="74">
        <v>4.4850000000000003</v>
      </c>
      <c r="I21" s="58">
        <v>7.4749999999999996</v>
      </c>
      <c r="J21" s="58">
        <v>6.2789999999999999</v>
      </c>
      <c r="K21" s="58">
        <v>2.3919999999999999</v>
      </c>
      <c r="L21" s="58">
        <v>2.093</v>
      </c>
      <c r="M21" s="60"/>
      <c r="N21" s="72"/>
      <c r="O21" s="60"/>
      <c r="P21" s="34">
        <f t="shared" si="1"/>
        <v>28.105999999999998</v>
      </c>
      <c r="Q21" s="40">
        <f t="shared" si="3"/>
        <v>1.2775454545454545</v>
      </c>
      <c r="S21" s="12"/>
    </row>
    <row r="22" spans="1:19" ht="14.25" customHeight="1" x14ac:dyDescent="0.25">
      <c r="A22" s="13">
        <v>17</v>
      </c>
      <c r="B22" s="14" t="s">
        <v>40</v>
      </c>
      <c r="C22" s="34">
        <v>41</v>
      </c>
      <c r="D22" s="72">
        <v>0</v>
      </c>
      <c r="E22" s="72">
        <f t="shared" si="0"/>
        <v>1.9104000000000001</v>
      </c>
      <c r="F22" s="73">
        <v>3.1839999999999997</v>
      </c>
      <c r="G22" s="74">
        <v>6.3679999999999994</v>
      </c>
      <c r="H22" s="74">
        <v>9.5519999999999996</v>
      </c>
      <c r="I22" s="58">
        <v>15.92</v>
      </c>
      <c r="J22" s="58">
        <v>13.3728</v>
      </c>
      <c r="K22" s="58">
        <v>5.0944000000000003</v>
      </c>
      <c r="L22" s="58">
        <v>4.4576000000000002</v>
      </c>
      <c r="M22" s="60"/>
      <c r="N22" s="72"/>
      <c r="O22" s="60"/>
      <c r="P22" s="34">
        <f t="shared" si="1"/>
        <v>59.859199999999994</v>
      </c>
      <c r="Q22" s="40">
        <f t="shared" si="3"/>
        <v>1.4599804878048779</v>
      </c>
      <c r="S22" s="12"/>
    </row>
    <row r="23" spans="1:19" ht="14.25" customHeight="1" x14ac:dyDescent="0.25">
      <c r="A23" s="13">
        <v>18</v>
      </c>
      <c r="B23" s="14" t="s">
        <v>41</v>
      </c>
      <c r="C23" s="34">
        <v>13</v>
      </c>
      <c r="D23" s="72">
        <v>0</v>
      </c>
      <c r="E23" s="72">
        <f t="shared" si="0"/>
        <v>0.41669999999999996</v>
      </c>
      <c r="F23" s="73">
        <v>0.69450000000000001</v>
      </c>
      <c r="G23" s="74">
        <v>1.389</v>
      </c>
      <c r="H23" s="74">
        <v>2.0835000000000004</v>
      </c>
      <c r="I23" s="58">
        <v>3.4725000000000001</v>
      </c>
      <c r="J23" s="58">
        <v>2.9169</v>
      </c>
      <c r="K23" s="58">
        <v>1.1112</v>
      </c>
      <c r="L23" s="58">
        <v>0.97230000000000005</v>
      </c>
      <c r="M23" s="60"/>
      <c r="N23" s="72"/>
      <c r="O23" s="60"/>
      <c r="P23" s="34">
        <f t="shared" si="1"/>
        <v>13.056600000000001</v>
      </c>
      <c r="Q23" s="40">
        <f t="shared" si="3"/>
        <v>1.0043538461538462</v>
      </c>
      <c r="S23" s="12"/>
    </row>
    <row r="24" spans="1:19" ht="14.25" customHeight="1" x14ac:dyDescent="0.25">
      <c r="A24" s="13">
        <v>19</v>
      </c>
      <c r="B24" s="14" t="s">
        <v>42</v>
      </c>
      <c r="C24" s="34">
        <v>87</v>
      </c>
      <c r="D24" s="72">
        <v>0</v>
      </c>
      <c r="E24" s="72">
        <f t="shared" si="0"/>
        <v>3.2961</v>
      </c>
      <c r="F24" s="73">
        <v>5.4935</v>
      </c>
      <c r="G24" s="74">
        <v>10.987</v>
      </c>
      <c r="H24" s="74">
        <v>16.480500000000003</v>
      </c>
      <c r="I24" s="58">
        <v>27.467500000000001</v>
      </c>
      <c r="J24" s="58">
        <v>23.072700000000001</v>
      </c>
      <c r="K24" s="58">
        <v>8.7896000000000001</v>
      </c>
      <c r="L24" s="58">
        <v>7.6909000000000001</v>
      </c>
      <c r="M24" s="60"/>
      <c r="N24" s="72"/>
      <c r="O24" s="60"/>
      <c r="P24" s="34">
        <f t="shared" si="1"/>
        <v>103.27780000000001</v>
      </c>
      <c r="Q24" s="40">
        <f t="shared" si="3"/>
        <v>1.1871011494252874</v>
      </c>
      <c r="S24" s="12"/>
    </row>
    <row r="25" spans="1:19" ht="14.25" customHeight="1" x14ac:dyDescent="0.25">
      <c r="A25" s="13">
        <v>20</v>
      </c>
      <c r="B25" s="14" t="s">
        <v>43</v>
      </c>
      <c r="C25" s="34">
        <v>229</v>
      </c>
      <c r="D25" s="72">
        <v>0</v>
      </c>
      <c r="E25" s="72">
        <f t="shared" si="0"/>
        <v>8.8500000000000014</v>
      </c>
      <c r="F25" s="73">
        <v>14.75</v>
      </c>
      <c r="G25" s="74">
        <v>29.5</v>
      </c>
      <c r="H25" s="74">
        <v>44.25</v>
      </c>
      <c r="I25" s="58">
        <v>73.75</v>
      </c>
      <c r="J25" s="58">
        <v>61.95</v>
      </c>
      <c r="K25" s="58">
        <v>23.6</v>
      </c>
      <c r="L25" s="58">
        <v>20.65</v>
      </c>
      <c r="M25" s="60"/>
      <c r="N25" s="72"/>
      <c r="O25" s="60"/>
      <c r="P25" s="34">
        <f t="shared" si="1"/>
        <v>277.3</v>
      </c>
      <c r="Q25" s="40">
        <f t="shared" si="3"/>
        <v>1.2109170305676857</v>
      </c>
      <c r="S25" s="12"/>
    </row>
    <row r="26" spans="1:19" ht="14.25" customHeight="1" x14ac:dyDescent="0.25">
      <c r="A26" s="13">
        <v>21</v>
      </c>
      <c r="B26" s="14" t="s">
        <v>44</v>
      </c>
      <c r="C26" s="34">
        <v>52</v>
      </c>
      <c r="D26" s="72">
        <v>0</v>
      </c>
      <c r="E26" s="72">
        <f t="shared" si="0"/>
        <v>1.7597699999999998</v>
      </c>
      <c r="F26" s="73">
        <v>2.9329499999999999</v>
      </c>
      <c r="G26" s="74">
        <v>5.8658999999999999</v>
      </c>
      <c r="H26" s="74">
        <v>8.7988499999999998</v>
      </c>
      <c r="I26" s="58">
        <v>14.66475</v>
      </c>
      <c r="J26" s="58">
        <v>12.318389999999999</v>
      </c>
      <c r="K26" s="58">
        <v>4.6927199999999996</v>
      </c>
      <c r="L26" s="58">
        <v>4.1061300000000003</v>
      </c>
      <c r="M26" s="60"/>
      <c r="N26" s="72"/>
      <c r="O26" s="60"/>
      <c r="P26" s="34">
        <f t="shared" si="1"/>
        <v>55.13946</v>
      </c>
      <c r="Q26" s="40">
        <f t="shared" si="3"/>
        <v>1.0603742307692308</v>
      </c>
      <c r="S26" s="12"/>
    </row>
    <row r="27" spans="1:19" ht="14.25" customHeight="1" x14ac:dyDescent="0.25">
      <c r="A27" s="13">
        <v>22</v>
      </c>
      <c r="B27" s="14" t="s">
        <v>45</v>
      </c>
      <c r="C27" s="34">
        <v>89</v>
      </c>
      <c r="D27" s="72">
        <v>0</v>
      </c>
      <c r="E27" s="72">
        <f t="shared" si="0"/>
        <v>5.1899999999999995</v>
      </c>
      <c r="F27" s="73">
        <v>8.65</v>
      </c>
      <c r="G27" s="74">
        <v>17.3</v>
      </c>
      <c r="H27" s="74">
        <v>25.95</v>
      </c>
      <c r="I27" s="58">
        <v>43.25</v>
      </c>
      <c r="J27" s="58">
        <v>36.33</v>
      </c>
      <c r="K27" s="58">
        <v>13.84</v>
      </c>
      <c r="L27" s="58">
        <v>12.11</v>
      </c>
      <c r="M27" s="60"/>
      <c r="N27" s="72"/>
      <c r="O27" s="60"/>
      <c r="P27" s="34">
        <f t="shared" si="1"/>
        <v>162.62</v>
      </c>
      <c r="Q27" s="40">
        <f t="shared" si="3"/>
        <v>1.8271910112359551</v>
      </c>
      <c r="S27" s="12"/>
    </row>
    <row r="28" spans="1:19" ht="14.25" customHeight="1" x14ac:dyDescent="0.25">
      <c r="A28" s="13">
        <v>23</v>
      </c>
      <c r="B28" s="14" t="s">
        <v>46</v>
      </c>
      <c r="C28" s="34">
        <v>127</v>
      </c>
      <c r="D28" s="72">
        <v>0</v>
      </c>
      <c r="E28" s="72">
        <f t="shared" si="0"/>
        <v>6.4859999999999998</v>
      </c>
      <c r="F28" s="73">
        <v>10.81</v>
      </c>
      <c r="G28" s="74">
        <v>21.62</v>
      </c>
      <c r="H28" s="74">
        <v>32.43</v>
      </c>
      <c r="I28" s="58">
        <v>54.05</v>
      </c>
      <c r="J28" s="58">
        <v>45.402000000000001</v>
      </c>
      <c r="K28" s="58">
        <v>17.295999999999999</v>
      </c>
      <c r="L28" s="58">
        <v>15.133999999999999</v>
      </c>
      <c r="M28" s="60"/>
      <c r="N28" s="72"/>
      <c r="O28" s="60"/>
      <c r="P28" s="34">
        <f t="shared" si="1"/>
        <v>203.22799999999998</v>
      </c>
      <c r="Q28" s="40">
        <f t="shared" si="3"/>
        <v>1.6002204724409448</v>
      </c>
      <c r="S28" s="12"/>
    </row>
    <row r="29" spans="1:19" ht="14.25" customHeight="1" x14ac:dyDescent="0.25">
      <c r="A29" s="13">
        <v>24</v>
      </c>
      <c r="B29" s="14" t="s">
        <v>47</v>
      </c>
      <c r="C29" s="34">
        <v>110</v>
      </c>
      <c r="D29" s="72">
        <v>0</v>
      </c>
      <c r="E29" s="72">
        <f t="shared" si="0"/>
        <v>1.0589999999999999</v>
      </c>
      <c r="F29" s="73">
        <v>1.7649999999999999</v>
      </c>
      <c r="G29" s="74">
        <v>3.53</v>
      </c>
      <c r="H29" s="74">
        <v>5.2949999999999999</v>
      </c>
      <c r="I29" s="58">
        <v>8.8249999999999993</v>
      </c>
      <c r="J29" s="58">
        <v>7.4129999999999994</v>
      </c>
      <c r="K29" s="58">
        <v>2.8239999999999998</v>
      </c>
      <c r="L29" s="58">
        <v>2.4709999999999996</v>
      </c>
      <c r="M29" s="60"/>
      <c r="N29" s="72"/>
      <c r="O29" s="60"/>
      <c r="P29" s="34">
        <f t="shared" si="1"/>
        <v>33.181999999999995</v>
      </c>
      <c r="Q29" s="40">
        <f t="shared" si="3"/>
        <v>0.3016545454545454</v>
      </c>
      <c r="S29" s="12"/>
    </row>
    <row r="30" spans="1:19" ht="14.25" customHeight="1" x14ac:dyDescent="0.25">
      <c r="A30" s="13">
        <v>25</v>
      </c>
      <c r="B30" s="14" t="s">
        <v>48</v>
      </c>
      <c r="C30" s="34">
        <v>0</v>
      </c>
      <c r="D30" s="72">
        <v>0</v>
      </c>
      <c r="E30" s="72">
        <f t="shared" si="0"/>
        <v>0</v>
      </c>
      <c r="F30" s="73">
        <v>0</v>
      </c>
      <c r="G30" s="74">
        <v>0</v>
      </c>
      <c r="H30" s="74">
        <v>0</v>
      </c>
      <c r="I30" s="58">
        <v>0</v>
      </c>
      <c r="J30" s="58">
        <v>0</v>
      </c>
      <c r="K30" s="58">
        <v>0</v>
      </c>
      <c r="L30" s="58">
        <v>0</v>
      </c>
      <c r="M30" s="60"/>
      <c r="N30" s="72"/>
      <c r="O30" s="60"/>
      <c r="P30" s="34">
        <f t="shared" si="1"/>
        <v>0</v>
      </c>
      <c r="Q30" s="40" t="s">
        <v>77</v>
      </c>
      <c r="S30" s="12"/>
    </row>
    <row r="31" spans="1:19" ht="14.25" customHeight="1" x14ac:dyDescent="0.25">
      <c r="A31" s="13">
        <v>26</v>
      </c>
      <c r="B31" s="14" t="s">
        <v>49</v>
      </c>
      <c r="C31" s="34">
        <v>47</v>
      </c>
      <c r="D31" s="72">
        <v>0</v>
      </c>
      <c r="E31" s="72">
        <f t="shared" si="0"/>
        <v>0.33900000000000002</v>
      </c>
      <c r="F31" s="73">
        <v>0.56499999999999995</v>
      </c>
      <c r="G31" s="74">
        <v>1.1299999999999999</v>
      </c>
      <c r="H31" s="74">
        <v>1.6950000000000001</v>
      </c>
      <c r="I31" s="58">
        <v>2.8250000000000002</v>
      </c>
      <c r="J31" s="58">
        <v>2.3730000000000002</v>
      </c>
      <c r="K31" s="58">
        <v>0.90400000000000003</v>
      </c>
      <c r="L31" s="58">
        <v>0.79100000000000004</v>
      </c>
      <c r="M31" s="60"/>
      <c r="N31" s="72"/>
      <c r="O31" s="60"/>
      <c r="P31" s="34">
        <f t="shared" si="1"/>
        <v>10.622</v>
      </c>
      <c r="Q31" s="40">
        <f t="shared" ref="Q31:Q39" si="4">P31/C31</f>
        <v>0.22600000000000001</v>
      </c>
      <c r="S31" s="12"/>
    </row>
    <row r="32" spans="1:19" ht="14.25" customHeight="1" x14ac:dyDescent="0.25">
      <c r="A32" s="13">
        <v>27</v>
      </c>
      <c r="B32" s="14" t="s">
        <v>50</v>
      </c>
      <c r="C32" s="34">
        <v>33</v>
      </c>
      <c r="D32" s="72">
        <v>0</v>
      </c>
      <c r="E32" s="72">
        <f t="shared" si="0"/>
        <v>0.95399999999999996</v>
      </c>
      <c r="F32" s="73">
        <v>1.59</v>
      </c>
      <c r="G32" s="74">
        <v>3.18</v>
      </c>
      <c r="H32" s="74">
        <v>4.7699999999999996</v>
      </c>
      <c r="I32" s="58">
        <v>7.95</v>
      </c>
      <c r="J32" s="58">
        <v>6.6780000000000008</v>
      </c>
      <c r="K32" s="58">
        <v>2.544</v>
      </c>
      <c r="L32" s="58">
        <v>2.226</v>
      </c>
      <c r="M32" s="60"/>
      <c r="N32" s="72"/>
      <c r="O32" s="60"/>
      <c r="P32" s="34">
        <f t="shared" si="1"/>
        <v>29.891999999999999</v>
      </c>
      <c r="Q32" s="40">
        <f t="shared" si="4"/>
        <v>0.90581818181818186</v>
      </c>
      <c r="S32" s="12"/>
    </row>
    <row r="33" spans="1:19" ht="14.25" customHeight="1" x14ac:dyDescent="0.25">
      <c r="A33" s="13">
        <v>28</v>
      </c>
      <c r="B33" s="14" t="s">
        <v>51</v>
      </c>
      <c r="C33" s="34">
        <v>11</v>
      </c>
      <c r="D33" s="72">
        <v>0</v>
      </c>
      <c r="E33" s="72">
        <f t="shared" si="0"/>
        <v>0.74399999999999999</v>
      </c>
      <c r="F33" s="73">
        <v>1.24</v>
      </c>
      <c r="G33" s="74">
        <v>2.48</v>
      </c>
      <c r="H33" s="74">
        <v>3.72</v>
      </c>
      <c r="I33" s="58">
        <v>6.2</v>
      </c>
      <c r="J33" s="58">
        <v>5.2080000000000011</v>
      </c>
      <c r="K33" s="58">
        <v>1.984</v>
      </c>
      <c r="L33" s="58">
        <v>1.736</v>
      </c>
      <c r="M33" s="60"/>
      <c r="N33" s="72"/>
      <c r="O33" s="60"/>
      <c r="P33" s="34">
        <f t="shared" si="1"/>
        <v>23.312000000000001</v>
      </c>
      <c r="Q33" s="40">
        <f t="shared" si="4"/>
        <v>2.1192727272727274</v>
      </c>
      <c r="S33" s="12"/>
    </row>
    <row r="34" spans="1:19" ht="14.25" customHeight="1" x14ac:dyDescent="0.25">
      <c r="A34" s="13">
        <v>29</v>
      </c>
      <c r="B34" s="14" t="s">
        <v>52</v>
      </c>
      <c r="C34" s="34">
        <v>35</v>
      </c>
      <c r="D34" s="72">
        <v>0</v>
      </c>
      <c r="E34" s="72">
        <f t="shared" si="0"/>
        <v>2.0010000000000003</v>
      </c>
      <c r="F34" s="73">
        <v>3.335</v>
      </c>
      <c r="G34" s="74">
        <v>6.67</v>
      </c>
      <c r="H34" s="74">
        <v>10.005000000000001</v>
      </c>
      <c r="I34" s="58">
        <v>16.675000000000001</v>
      </c>
      <c r="J34" s="58">
        <v>14.007</v>
      </c>
      <c r="K34" s="58">
        <v>5.3360000000000003</v>
      </c>
      <c r="L34" s="58">
        <v>4.6690000000000005</v>
      </c>
      <c r="M34" s="60"/>
      <c r="N34" s="72"/>
      <c r="O34" s="60"/>
      <c r="P34" s="34">
        <f t="shared" si="1"/>
        <v>62.698000000000008</v>
      </c>
      <c r="Q34" s="40">
        <f t="shared" si="4"/>
        <v>1.7913714285714288</v>
      </c>
      <c r="S34" s="12"/>
    </row>
    <row r="35" spans="1:19" ht="14.25" customHeight="1" x14ac:dyDescent="0.25">
      <c r="A35" s="13">
        <v>30</v>
      </c>
      <c r="B35" s="14" t="s">
        <v>53</v>
      </c>
      <c r="C35" s="34">
        <v>7</v>
      </c>
      <c r="D35" s="72">
        <v>0</v>
      </c>
      <c r="E35" s="72">
        <f t="shared" si="0"/>
        <v>0.84000000000000008</v>
      </c>
      <c r="F35" s="73">
        <v>1.4</v>
      </c>
      <c r="G35" s="74">
        <v>2.8</v>
      </c>
      <c r="H35" s="74">
        <v>4.2</v>
      </c>
      <c r="I35" s="58">
        <v>7</v>
      </c>
      <c r="J35" s="58">
        <v>5.88</v>
      </c>
      <c r="K35" s="58">
        <v>2.2400000000000002</v>
      </c>
      <c r="L35" s="58">
        <v>1.96</v>
      </c>
      <c r="M35" s="60"/>
      <c r="N35" s="72"/>
      <c r="O35" s="60"/>
      <c r="P35" s="34">
        <f t="shared" si="1"/>
        <v>26.32</v>
      </c>
      <c r="Q35" s="40">
        <f t="shared" si="4"/>
        <v>3.7600000000000002</v>
      </c>
      <c r="S35" s="12"/>
    </row>
    <row r="36" spans="1:19" ht="14.25" customHeight="1" x14ac:dyDescent="0.25">
      <c r="A36" s="13">
        <v>31</v>
      </c>
      <c r="B36" s="14" t="s">
        <v>54</v>
      </c>
      <c r="C36" s="34">
        <v>22</v>
      </c>
      <c r="D36" s="72">
        <v>0</v>
      </c>
      <c r="E36" s="72">
        <f t="shared" si="0"/>
        <v>1.359</v>
      </c>
      <c r="F36" s="73">
        <v>2.2650000000000001</v>
      </c>
      <c r="G36" s="74">
        <v>4.53</v>
      </c>
      <c r="H36" s="74">
        <v>6.7949999999999999</v>
      </c>
      <c r="I36" s="58">
        <v>11.324999999999999</v>
      </c>
      <c r="J36" s="58">
        <v>9.5129999999999999</v>
      </c>
      <c r="K36" s="58">
        <v>3.6239999999999997</v>
      </c>
      <c r="L36" s="58">
        <v>3.1709999999999998</v>
      </c>
      <c r="M36" s="60"/>
      <c r="N36" s="72"/>
      <c r="O36" s="60"/>
      <c r="P36" s="34">
        <f t="shared" si="1"/>
        <v>42.582000000000001</v>
      </c>
      <c r="Q36" s="40">
        <f t="shared" si="4"/>
        <v>1.9355454545454547</v>
      </c>
      <c r="S36" s="12"/>
    </row>
    <row r="37" spans="1:19" ht="14.25" customHeight="1" x14ac:dyDescent="0.25">
      <c r="A37" s="13">
        <v>32</v>
      </c>
      <c r="B37" s="14" t="s">
        <v>55</v>
      </c>
      <c r="C37" s="34">
        <v>25</v>
      </c>
      <c r="D37" s="72">
        <v>0</v>
      </c>
      <c r="E37" s="72">
        <f t="shared" si="0"/>
        <v>1.6500000000000001</v>
      </c>
      <c r="F37" s="73">
        <v>2.75</v>
      </c>
      <c r="G37" s="74">
        <v>5.5</v>
      </c>
      <c r="H37" s="74">
        <v>8.25</v>
      </c>
      <c r="I37" s="58">
        <v>13.75</v>
      </c>
      <c r="J37" s="58">
        <v>11.55</v>
      </c>
      <c r="K37" s="58">
        <v>4.4000000000000004</v>
      </c>
      <c r="L37" s="58">
        <v>3.85</v>
      </c>
      <c r="M37" s="60"/>
      <c r="N37" s="72"/>
      <c r="O37" s="60"/>
      <c r="P37" s="34">
        <f t="shared" si="1"/>
        <v>51.7</v>
      </c>
      <c r="Q37" s="40">
        <f t="shared" si="4"/>
        <v>2.0680000000000001</v>
      </c>
      <c r="S37" s="12"/>
    </row>
    <row r="38" spans="1:19" ht="14.25" customHeight="1" x14ac:dyDescent="0.25">
      <c r="A38" s="13">
        <v>33</v>
      </c>
      <c r="B38" s="14" t="s">
        <v>56</v>
      </c>
      <c r="C38" s="34">
        <v>1</v>
      </c>
      <c r="D38" s="72">
        <v>0</v>
      </c>
      <c r="E38" s="72">
        <f t="shared" si="0"/>
        <v>3.1199999999999999E-2</v>
      </c>
      <c r="F38" s="73">
        <v>5.2000000000000005E-2</v>
      </c>
      <c r="G38" s="74">
        <v>0.10400000000000001</v>
      </c>
      <c r="H38" s="74">
        <v>0.15600000000000003</v>
      </c>
      <c r="I38" s="58">
        <v>0.26</v>
      </c>
      <c r="J38" s="58">
        <v>0.21840000000000001</v>
      </c>
      <c r="K38" s="58">
        <v>8.3199999999999996E-2</v>
      </c>
      <c r="L38" s="58">
        <v>7.2800000000000004E-2</v>
      </c>
      <c r="M38" s="60"/>
      <c r="N38" s="72"/>
      <c r="O38" s="60"/>
      <c r="P38" s="34">
        <f t="shared" si="1"/>
        <v>0.97760000000000002</v>
      </c>
      <c r="Q38" s="40">
        <f t="shared" si="4"/>
        <v>0.97760000000000002</v>
      </c>
      <c r="S38" s="12"/>
    </row>
    <row r="39" spans="1:19" ht="14.25" customHeight="1" x14ac:dyDescent="0.25">
      <c r="A39" s="13">
        <v>34</v>
      </c>
      <c r="B39" s="14" t="s">
        <v>57</v>
      </c>
      <c r="C39" s="34">
        <v>3</v>
      </c>
      <c r="D39" s="72">
        <v>0</v>
      </c>
      <c r="E39" s="72">
        <f t="shared" si="0"/>
        <v>0.37140000000000001</v>
      </c>
      <c r="F39" s="73">
        <v>0.61900000000000011</v>
      </c>
      <c r="G39" s="74">
        <v>1.2380000000000002</v>
      </c>
      <c r="H39" s="74">
        <v>1.8570000000000002</v>
      </c>
      <c r="I39" s="58">
        <v>3.0950000000000002</v>
      </c>
      <c r="J39" s="58">
        <v>2.5998000000000001</v>
      </c>
      <c r="K39" s="58">
        <v>0.99040000000000006</v>
      </c>
      <c r="L39" s="58">
        <v>0.86660000000000015</v>
      </c>
      <c r="M39" s="60"/>
      <c r="N39" s="72"/>
      <c r="O39" s="60"/>
      <c r="P39" s="34">
        <f t="shared" si="1"/>
        <v>11.6372</v>
      </c>
      <c r="Q39" s="40">
        <f t="shared" si="4"/>
        <v>3.8790666666666667</v>
      </c>
      <c r="S39" s="12"/>
    </row>
    <row r="40" spans="1:19" ht="14.25" customHeight="1" x14ac:dyDescent="0.25">
      <c r="A40" s="13">
        <v>35</v>
      </c>
      <c r="B40" s="14" t="s">
        <v>58</v>
      </c>
      <c r="C40" s="34">
        <v>0</v>
      </c>
      <c r="D40" s="72">
        <v>0</v>
      </c>
      <c r="E40" s="72">
        <f t="shared" si="0"/>
        <v>0</v>
      </c>
      <c r="F40" s="73">
        <v>0</v>
      </c>
      <c r="G40" s="74">
        <v>0</v>
      </c>
      <c r="H40" s="74">
        <v>0</v>
      </c>
      <c r="I40" s="58">
        <v>0</v>
      </c>
      <c r="J40" s="58">
        <v>0</v>
      </c>
      <c r="K40" s="58">
        <v>0</v>
      </c>
      <c r="L40" s="58">
        <v>0</v>
      </c>
      <c r="M40" s="60"/>
      <c r="N40" s="72"/>
      <c r="O40" s="60"/>
      <c r="P40" s="34">
        <f t="shared" si="1"/>
        <v>0</v>
      </c>
      <c r="Q40" s="40" t="s">
        <v>77</v>
      </c>
      <c r="S40" s="12"/>
    </row>
    <row r="41" spans="1:19" ht="14.25" customHeight="1" x14ac:dyDescent="0.25">
      <c r="A41" s="13">
        <v>36</v>
      </c>
      <c r="B41" s="14" t="s">
        <v>59</v>
      </c>
      <c r="C41" s="34">
        <v>19</v>
      </c>
      <c r="D41" s="72">
        <v>0</v>
      </c>
      <c r="E41" s="72">
        <f t="shared" si="0"/>
        <v>1.8599999999999999</v>
      </c>
      <c r="F41" s="73">
        <v>3.1</v>
      </c>
      <c r="G41" s="74">
        <v>6.2</v>
      </c>
      <c r="H41" s="74">
        <v>9.3000000000000007</v>
      </c>
      <c r="I41" s="58">
        <v>15.5</v>
      </c>
      <c r="J41" s="58">
        <v>13.02</v>
      </c>
      <c r="K41" s="58">
        <v>4.96</v>
      </c>
      <c r="L41" s="58">
        <v>4.34</v>
      </c>
      <c r="M41" s="60"/>
      <c r="N41" s="72"/>
      <c r="O41" s="60"/>
      <c r="P41" s="34">
        <f t="shared" si="1"/>
        <v>58.28</v>
      </c>
      <c r="Q41" s="40">
        <f t="shared" ref="Q41:Q48" si="5">P41/C41</f>
        <v>3.0673684210526315</v>
      </c>
      <c r="S41" s="12"/>
    </row>
    <row r="42" spans="1:19" ht="14.25" customHeight="1" x14ac:dyDescent="0.25">
      <c r="A42" s="13">
        <v>37</v>
      </c>
      <c r="B42" s="14" t="s">
        <v>60</v>
      </c>
      <c r="C42" s="34">
        <v>1</v>
      </c>
      <c r="D42" s="72">
        <v>0</v>
      </c>
      <c r="E42" s="72">
        <f t="shared" si="0"/>
        <v>2.2499999999999999E-2</v>
      </c>
      <c r="F42" s="73">
        <v>3.7499999999999999E-2</v>
      </c>
      <c r="G42" s="74">
        <v>7.4999999999999997E-2</v>
      </c>
      <c r="H42" s="74">
        <v>0.1125</v>
      </c>
      <c r="I42" s="58">
        <v>0.1875</v>
      </c>
      <c r="J42" s="58">
        <v>0.1575</v>
      </c>
      <c r="K42" s="58">
        <v>0.06</v>
      </c>
      <c r="L42" s="58">
        <v>5.2499999999999998E-2</v>
      </c>
      <c r="M42" s="60"/>
      <c r="N42" s="72"/>
      <c r="O42" s="60"/>
      <c r="P42" s="34">
        <f t="shared" si="1"/>
        <v>0.70500000000000007</v>
      </c>
      <c r="Q42" s="40">
        <f t="shared" si="5"/>
        <v>0.70500000000000007</v>
      </c>
      <c r="S42" s="12"/>
    </row>
    <row r="43" spans="1:19" ht="14.25" customHeight="1" x14ac:dyDescent="0.25">
      <c r="A43" s="13">
        <v>38</v>
      </c>
      <c r="B43" s="14" t="s">
        <v>61</v>
      </c>
      <c r="C43" s="34">
        <v>17</v>
      </c>
      <c r="D43" s="72">
        <v>0</v>
      </c>
      <c r="E43" s="72">
        <f t="shared" si="0"/>
        <v>0.54600000000000004</v>
      </c>
      <c r="F43" s="73">
        <v>0.91</v>
      </c>
      <c r="G43" s="74">
        <v>1.82</v>
      </c>
      <c r="H43" s="74">
        <v>2.73</v>
      </c>
      <c r="I43" s="58">
        <v>4.55</v>
      </c>
      <c r="J43" s="58">
        <v>3.8220000000000001</v>
      </c>
      <c r="K43" s="58">
        <v>1.456</v>
      </c>
      <c r="L43" s="58">
        <v>1.274</v>
      </c>
      <c r="M43" s="60"/>
      <c r="N43" s="72"/>
      <c r="O43" s="60"/>
      <c r="P43" s="34">
        <f t="shared" si="1"/>
        <v>17.108000000000001</v>
      </c>
      <c r="Q43" s="40">
        <f t="shared" si="5"/>
        <v>1.0063529411764707</v>
      </c>
      <c r="S43" s="12"/>
    </row>
    <row r="44" spans="1:19" ht="14.25" customHeight="1" x14ac:dyDescent="0.25">
      <c r="A44" s="13">
        <v>39</v>
      </c>
      <c r="B44" s="14" t="s">
        <v>62</v>
      </c>
      <c r="C44" s="34">
        <v>11</v>
      </c>
      <c r="D44" s="72">
        <v>0</v>
      </c>
      <c r="E44" s="72">
        <f t="shared" si="0"/>
        <v>0.29400000000000004</v>
      </c>
      <c r="F44" s="73">
        <v>0.49</v>
      </c>
      <c r="G44" s="74">
        <v>0.98</v>
      </c>
      <c r="H44" s="74">
        <v>1.47</v>
      </c>
      <c r="I44" s="58">
        <v>8</v>
      </c>
      <c r="J44" s="58">
        <v>2.0580000000000003</v>
      </c>
      <c r="K44" s="58">
        <v>2.1215999999999999</v>
      </c>
      <c r="L44" s="58">
        <v>0.68600000000000005</v>
      </c>
      <c r="M44" s="60"/>
      <c r="N44" s="72"/>
      <c r="O44" s="60"/>
      <c r="P44" s="34">
        <f t="shared" si="1"/>
        <v>16.099599999999999</v>
      </c>
      <c r="Q44" s="40">
        <f t="shared" si="5"/>
        <v>1.4635999999999998</v>
      </c>
      <c r="S44" s="12"/>
    </row>
    <row r="45" spans="1:19" ht="14.25" customHeight="1" x14ac:dyDescent="0.25">
      <c r="A45" s="13">
        <v>40</v>
      </c>
      <c r="B45" s="14" t="s">
        <v>63</v>
      </c>
      <c r="C45" s="34">
        <v>10</v>
      </c>
      <c r="D45" s="72">
        <v>0</v>
      </c>
      <c r="E45" s="72">
        <f t="shared" si="0"/>
        <v>0.79559999999999997</v>
      </c>
      <c r="F45" s="73">
        <v>1.3259999999999998</v>
      </c>
      <c r="G45" s="74">
        <v>2.6519999999999997</v>
      </c>
      <c r="H45" s="74">
        <v>3.9780000000000002</v>
      </c>
      <c r="I45" s="58">
        <v>2.5</v>
      </c>
      <c r="J45" s="58">
        <v>5.5691999999999995</v>
      </c>
      <c r="K45" s="58">
        <v>0.78</v>
      </c>
      <c r="L45" s="58">
        <v>1.8563999999999998</v>
      </c>
      <c r="M45" s="60"/>
      <c r="N45" s="72"/>
      <c r="O45" s="60"/>
      <c r="P45" s="34">
        <f t="shared" si="1"/>
        <v>19.4572</v>
      </c>
      <c r="Q45" s="40">
        <f t="shared" si="5"/>
        <v>1.9457200000000001</v>
      </c>
      <c r="S45" s="12"/>
    </row>
    <row r="46" spans="1:19" ht="14.25" customHeight="1" x14ac:dyDescent="0.25">
      <c r="A46" s="13">
        <v>41</v>
      </c>
      <c r="B46" s="14" t="s">
        <v>64</v>
      </c>
      <c r="C46" s="34">
        <v>13</v>
      </c>
      <c r="D46" s="72">
        <v>0</v>
      </c>
      <c r="E46" s="72">
        <f t="shared" si="0"/>
        <v>0.37770000000000004</v>
      </c>
      <c r="F46" s="73">
        <v>0.62950000000000006</v>
      </c>
      <c r="G46" s="74">
        <v>1.2590000000000001</v>
      </c>
      <c r="H46" s="74">
        <v>1.8884999999999998</v>
      </c>
      <c r="I46" s="58">
        <v>3.1475</v>
      </c>
      <c r="J46" s="58">
        <v>2.6438999999999999</v>
      </c>
      <c r="K46" s="58">
        <v>1.0072000000000001</v>
      </c>
      <c r="L46" s="58">
        <v>0.88129999999999997</v>
      </c>
      <c r="M46" s="60"/>
      <c r="N46" s="72"/>
      <c r="O46" s="60"/>
      <c r="P46" s="34">
        <f t="shared" si="1"/>
        <v>11.834599999999998</v>
      </c>
      <c r="Q46" s="40">
        <f t="shared" si="5"/>
        <v>0.91035384615384607</v>
      </c>
      <c r="S46" s="12"/>
    </row>
    <row r="47" spans="1:19" ht="14.25" customHeight="1" x14ac:dyDescent="0.25">
      <c r="A47" s="13">
        <v>42</v>
      </c>
      <c r="B47" s="14" t="s">
        <v>65</v>
      </c>
      <c r="C47" s="34">
        <v>21</v>
      </c>
      <c r="D47" s="72">
        <v>0</v>
      </c>
      <c r="E47" s="72">
        <f t="shared" si="0"/>
        <v>0.3105</v>
      </c>
      <c r="F47" s="73">
        <v>0.51749999999999996</v>
      </c>
      <c r="G47" s="74">
        <v>1.0349999999999999</v>
      </c>
      <c r="H47" s="74">
        <v>1.5525</v>
      </c>
      <c r="I47" s="58">
        <v>2.5874999999999999</v>
      </c>
      <c r="J47" s="58">
        <v>2.1734999999999998</v>
      </c>
      <c r="K47" s="58">
        <v>0.82799999999999996</v>
      </c>
      <c r="L47" s="58">
        <v>0.72450000000000003</v>
      </c>
      <c r="M47" s="60"/>
      <c r="N47" s="72"/>
      <c r="O47" s="60"/>
      <c r="P47" s="34">
        <f t="shared" si="1"/>
        <v>9.729000000000001</v>
      </c>
      <c r="Q47" s="40">
        <f t="shared" si="5"/>
        <v>0.46328571428571436</v>
      </c>
      <c r="S47" s="12"/>
    </row>
    <row r="48" spans="1:19" ht="14.25" customHeight="1" x14ac:dyDescent="0.25">
      <c r="A48" s="99" t="s">
        <v>66</v>
      </c>
      <c r="B48" s="100"/>
      <c r="C48" s="75">
        <f t="shared" ref="C48:P48" si="6">SUM(C6:C47)</f>
        <v>2866</v>
      </c>
      <c r="D48" s="76">
        <f t="shared" si="6"/>
        <v>0</v>
      </c>
      <c r="E48" s="76">
        <f t="shared" si="6"/>
        <v>110.57577000000001</v>
      </c>
      <c r="F48" s="76">
        <f t="shared" si="6"/>
        <v>184.29295000000002</v>
      </c>
      <c r="G48" s="76">
        <f t="shared" si="6"/>
        <v>368.58590000000004</v>
      </c>
      <c r="H48" s="76">
        <f t="shared" si="6"/>
        <v>552.87884999999994</v>
      </c>
      <c r="I48" s="63">
        <f t="shared" si="6"/>
        <v>922.88475000000005</v>
      </c>
      <c r="J48" s="76">
        <f t="shared" si="6"/>
        <v>774.03039000000012</v>
      </c>
      <c r="K48" s="76">
        <f t="shared" si="6"/>
        <v>294.86471999999998</v>
      </c>
      <c r="L48" s="76">
        <f t="shared" si="6"/>
        <v>258.01012999999995</v>
      </c>
      <c r="M48" s="77">
        <f t="shared" si="6"/>
        <v>0</v>
      </c>
      <c r="N48" s="76">
        <f t="shared" si="6"/>
        <v>0</v>
      </c>
      <c r="O48" s="76">
        <f t="shared" si="6"/>
        <v>0</v>
      </c>
      <c r="P48" s="77">
        <f t="shared" si="6"/>
        <v>3466.1234599999993</v>
      </c>
      <c r="Q48" s="65">
        <f t="shared" si="5"/>
        <v>1.2093940893230981</v>
      </c>
      <c r="S48" s="12"/>
    </row>
    <row r="49" spans="2:16" ht="14.25" customHeight="1" x14ac:dyDescent="0.25"/>
    <row r="50" spans="2:16" ht="14.25" customHeight="1" x14ac:dyDescent="0.25">
      <c r="B50" s="1"/>
      <c r="C50" s="66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6" ht="14.25" hidden="1" customHeight="1" x14ac:dyDescent="0.25">
      <c r="C51" s="66">
        <v>3685.86</v>
      </c>
      <c r="D51" s="1">
        <v>1</v>
      </c>
      <c r="E51" s="1">
        <v>2</v>
      </c>
      <c r="F51" s="1">
        <v>5</v>
      </c>
      <c r="G51" s="1">
        <v>10</v>
      </c>
      <c r="H51" s="1">
        <v>15</v>
      </c>
      <c r="I51" s="1">
        <v>25</v>
      </c>
      <c r="J51" s="1">
        <v>21</v>
      </c>
      <c r="K51" s="1">
        <v>8</v>
      </c>
      <c r="L51" s="1">
        <v>7</v>
      </c>
      <c r="M51" s="1">
        <v>3</v>
      </c>
      <c r="N51" s="1">
        <v>2</v>
      </c>
      <c r="O51" s="1">
        <v>1</v>
      </c>
    </row>
    <row r="52" spans="2:16" ht="14.25" hidden="1" customHeight="1" x14ac:dyDescent="0.25">
      <c r="D52" s="31">
        <f t="shared" ref="D52:O52" si="7">$C$51*D51/100</f>
        <v>36.858600000000003</v>
      </c>
      <c r="E52" s="31">
        <f t="shared" si="7"/>
        <v>73.717200000000005</v>
      </c>
      <c r="F52" s="31">
        <f t="shared" si="7"/>
        <v>184.29300000000001</v>
      </c>
      <c r="G52" s="31">
        <f t="shared" si="7"/>
        <v>368.58600000000001</v>
      </c>
      <c r="H52" s="31">
        <f t="shared" si="7"/>
        <v>552.87900000000002</v>
      </c>
      <c r="I52" s="31">
        <f t="shared" si="7"/>
        <v>921.46500000000003</v>
      </c>
      <c r="J52" s="31">
        <f t="shared" si="7"/>
        <v>774.03059999999994</v>
      </c>
      <c r="K52" s="31">
        <f t="shared" si="7"/>
        <v>294.86880000000002</v>
      </c>
      <c r="L52" s="31">
        <f t="shared" si="7"/>
        <v>258.0102</v>
      </c>
      <c r="M52" s="31">
        <f t="shared" si="7"/>
        <v>110.5758</v>
      </c>
      <c r="N52" s="31">
        <f t="shared" si="7"/>
        <v>73.717200000000005</v>
      </c>
      <c r="O52" s="31">
        <f t="shared" si="7"/>
        <v>36.858600000000003</v>
      </c>
      <c r="P52" s="31">
        <f>SUM(D52:O52)</f>
        <v>3685.8600000000006</v>
      </c>
    </row>
    <row r="53" spans="2:16" ht="14.25" hidden="1" customHeight="1" x14ac:dyDescent="0.25">
      <c r="C53" s="1">
        <f t="shared" ref="C53:O53" si="8">SUM(C54:C95)</f>
        <v>3685.8590000000004</v>
      </c>
      <c r="D53" s="1">
        <f t="shared" si="8"/>
        <v>36.85859</v>
      </c>
      <c r="E53" s="1">
        <f t="shared" si="8"/>
        <v>73.717179999999999</v>
      </c>
      <c r="F53" s="1">
        <f t="shared" si="8"/>
        <v>184.29295000000002</v>
      </c>
      <c r="G53" s="1">
        <f t="shared" si="8"/>
        <v>368.58590000000004</v>
      </c>
      <c r="H53" s="1">
        <f t="shared" si="8"/>
        <v>552.87884999999994</v>
      </c>
      <c r="I53" s="1">
        <f t="shared" si="8"/>
        <v>921.46475000000009</v>
      </c>
      <c r="J53" s="1">
        <f t="shared" si="8"/>
        <v>774.03039000000012</v>
      </c>
      <c r="K53" s="1">
        <f t="shared" si="8"/>
        <v>294.86872</v>
      </c>
      <c r="L53" s="1">
        <f t="shared" si="8"/>
        <v>258.01012999999995</v>
      </c>
      <c r="M53" s="1">
        <f t="shared" si="8"/>
        <v>110.57576999999999</v>
      </c>
      <c r="N53" s="1">
        <f t="shared" si="8"/>
        <v>73.717179999999999</v>
      </c>
      <c r="O53" s="1">
        <f t="shared" si="8"/>
        <v>36.85859</v>
      </c>
    </row>
    <row r="54" spans="2:16" ht="14.25" hidden="1" customHeight="1" x14ac:dyDescent="0.25">
      <c r="C54" s="1">
        <v>172.1</v>
      </c>
      <c r="D54" s="1">
        <f t="shared" ref="D54:O54" si="9">$C54*D$51/100</f>
        <v>1.7209999999999999</v>
      </c>
      <c r="E54" s="1">
        <f t="shared" si="9"/>
        <v>3.4419999999999997</v>
      </c>
      <c r="F54" s="1">
        <f t="shared" si="9"/>
        <v>8.6050000000000004</v>
      </c>
      <c r="G54" s="1">
        <f t="shared" si="9"/>
        <v>17.21</v>
      </c>
      <c r="H54" s="1">
        <f t="shared" si="9"/>
        <v>25.815000000000001</v>
      </c>
      <c r="I54" s="1">
        <f t="shared" si="9"/>
        <v>43.024999999999999</v>
      </c>
      <c r="J54" s="1">
        <f t="shared" si="9"/>
        <v>36.140999999999998</v>
      </c>
      <c r="K54" s="1">
        <f t="shared" si="9"/>
        <v>13.767999999999999</v>
      </c>
      <c r="L54" s="1">
        <f t="shared" si="9"/>
        <v>12.047000000000001</v>
      </c>
      <c r="M54" s="1">
        <f t="shared" si="9"/>
        <v>5.1629999999999994</v>
      </c>
      <c r="N54" s="1">
        <f t="shared" si="9"/>
        <v>3.4419999999999997</v>
      </c>
      <c r="O54" s="1">
        <f t="shared" si="9"/>
        <v>1.7209999999999999</v>
      </c>
    </row>
    <row r="55" spans="2:16" ht="14.25" hidden="1" customHeight="1" x14ac:dyDescent="0.25">
      <c r="C55" s="1">
        <v>208.4</v>
      </c>
      <c r="D55" s="1">
        <f t="shared" ref="D55:O55" si="10">$C55*D$51/100</f>
        <v>2.0840000000000001</v>
      </c>
      <c r="E55" s="1">
        <f t="shared" si="10"/>
        <v>4.1680000000000001</v>
      </c>
      <c r="F55" s="1">
        <f t="shared" si="10"/>
        <v>10.42</v>
      </c>
      <c r="G55" s="1">
        <f t="shared" si="10"/>
        <v>20.84</v>
      </c>
      <c r="H55" s="1">
        <f t="shared" si="10"/>
        <v>31.26</v>
      </c>
      <c r="I55" s="1">
        <f t="shared" si="10"/>
        <v>52.1</v>
      </c>
      <c r="J55" s="1">
        <f t="shared" si="10"/>
        <v>43.764000000000003</v>
      </c>
      <c r="K55" s="1">
        <f t="shared" si="10"/>
        <v>16.672000000000001</v>
      </c>
      <c r="L55" s="1">
        <f t="shared" si="10"/>
        <v>14.587999999999999</v>
      </c>
      <c r="M55" s="1">
        <f t="shared" si="10"/>
        <v>6.2520000000000007</v>
      </c>
      <c r="N55" s="1">
        <f t="shared" si="10"/>
        <v>4.1680000000000001</v>
      </c>
      <c r="O55" s="1">
        <f t="shared" si="10"/>
        <v>2.0840000000000001</v>
      </c>
    </row>
    <row r="56" spans="2:16" ht="14.25" hidden="1" customHeight="1" x14ac:dyDescent="0.25">
      <c r="C56" s="1">
        <v>176.7</v>
      </c>
      <c r="D56" s="1">
        <f t="shared" ref="D56:O56" si="11">$C56*D$51/100</f>
        <v>1.7669999999999999</v>
      </c>
      <c r="E56" s="1">
        <f t="shared" si="11"/>
        <v>3.5339999999999998</v>
      </c>
      <c r="F56" s="1">
        <f t="shared" si="11"/>
        <v>8.8350000000000009</v>
      </c>
      <c r="G56" s="1">
        <f t="shared" si="11"/>
        <v>17.670000000000002</v>
      </c>
      <c r="H56" s="1">
        <f t="shared" si="11"/>
        <v>26.504999999999999</v>
      </c>
      <c r="I56" s="1">
        <f t="shared" si="11"/>
        <v>44.174999999999997</v>
      </c>
      <c r="J56" s="1">
        <f t="shared" si="11"/>
        <v>37.106999999999999</v>
      </c>
      <c r="K56" s="1">
        <f t="shared" si="11"/>
        <v>14.135999999999999</v>
      </c>
      <c r="L56" s="1">
        <f t="shared" si="11"/>
        <v>12.368999999999998</v>
      </c>
      <c r="M56" s="1">
        <f t="shared" si="11"/>
        <v>5.3009999999999993</v>
      </c>
      <c r="N56" s="1">
        <f t="shared" si="11"/>
        <v>3.5339999999999998</v>
      </c>
      <c r="O56" s="1">
        <f t="shared" si="11"/>
        <v>1.7669999999999999</v>
      </c>
    </row>
    <row r="57" spans="2:16" ht="14.25" hidden="1" customHeight="1" x14ac:dyDescent="0.25">
      <c r="C57" s="1">
        <v>40.36</v>
      </c>
      <c r="D57" s="1">
        <f t="shared" ref="D57:O57" si="12">$C57*D$51/100</f>
        <v>0.40360000000000001</v>
      </c>
      <c r="E57" s="1">
        <f t="shared" si="12"/>
        <v>0.80720000000000003</v>
      </c>
      <c r="F57" s="1">
        <f t="shared" si="12"/>
        <v>2.0180000000000002</v>
      </c>
      <c r="G57" s="1">
        <f t="shared" si="12"/>
        <v>4.0360000000000005</v>
      </c>
      <c r="H57" s="1">
        <f t="shared" si="12"/>
        <v>6.0539999999999994</v>
      </c>
      <c r="I57" s="1">
        <f t="shared" si="12"/>
        <v>10.09</v>
      </c>
      <c r="J57" s="1">
        <f t="shared" si="12"/>
        <v>8.4756</v>
      </c>
      <c r="K57" s="1">
        <f t="shared" si="12"/>
        <v>3.2288000000000001</v>
      </c>
      <c r="L57" s="1">
        <f t="shared" si="12"/>
        <v>2.8251999999999997</v>
      </c>
      <c r="M57" s="1">
        <f t="shared" si="12"/>
        <v>1.2107999999999999</v>
      </c>
      <c r="N57" s="1">
        <f t="shared" si="12"/>
        <v>0.80720000000000003</v>
      </c>
      <c r="O57" s="1">
        <f t="shared" si="12"/>
        <v>0.40360000000000001</v>
      </c>
    </row>
    <row r="58" spans="2:16" ht="14.25" hidden="1" customHeight="1" x14ac:dyDescent="0.25">
      <c r="C58" s="1">
        <v>50.77</v>
      </c>
      <c r="D58" s="1">
        <f t="shared" ref="D58:O58" si="13">$C58*D$51/100</f>
        <v>0.50770000000000004</v>
      </c>
      <c r="E58" s="1">
        <f t="shared" si="13"/>
        <v>1.0154000000000001</v>
      </c>
      <c r="F58" s="1">
        <f t="shared" si="13"/>
        <v>2.5385000000000004</v>
      </c>
      <c r="G58" s="1">
        <f t="shared" si="13"/>
        <v>5.0770000000000008</v>
      </c>
      <c r="H58" s="1">
        <f t="shared" si="13"/>
        <v>7.6155000000000008</v>
      </c>
      <c r="I58" s="1">
        <f t="shared" si="13"/>
        <v>12.692500000000001</v>
      </c>
      <c r="J58" s="1">
        <f t="shared" si="13"/>
        <v>10.661700000000002</v>
      </c>
      <c r="K58" s="1">
        <f t="shared" si="13"/>
        <v>4.0616000000000003</v>
      </c>
      <c r="L58" s="1">
        <f t="shared" si="13"/>
        <v>3.5539000000000005</v>
      </c>
      <c r="M58" s="1">
        <f t="shared" si="13"/>
        <v>1.5231000000000001</v>
      </c>
      <c r="N58" s="1">
        <f t="shared" si="13"/>
        <v>1.0154000000000001</v>
      </c>
      <c r="O58" s="1">
        <f t="shared" si="13"/>
        <v>0.50770000000000004</v>
      </c>
    </row>
    <row r="59" spans="2:16" ht="14.25" hidden="1" customHeight="1" x14ac:dyDescent="0.25">
      <c r="C59" s="1">
        <v>424.7</v>
      </c>
      <c r="D59" s="1">
        <f t="shared" ref="D59:O59" si="14">$C59*D$51/100</f>
        <v>4.2469999999999999</v>
      </c>
      <c r="E59" s="1">
        <f t="shared" si="14"/>
        <v>8.4939999999999998</v>
      </c>
      <c r="F59" s="1">
        <f t="shared" si="14"/>
        <v>21.234999999999999</v>
      </c>
      <c r="G59" s="1">
        <f t="shared" si="14"/>
        <v>42.47</v>
      </c>
      <c r="H59" s="1">
        <f t="shared" si="14"/>
        <v>63.704999999999998</v>
      </c>
      <c r="I59" s="1">
        <f t="shared" si="14"/>
        <v>106.175</v>
      </c>
      <c r="J59" s="1">
        <f t="shared" si="14"/>
        <v>89.186999999999983</v>
      </c>
      <c r="K59" s="1">
        <f t="shared" si="14"/>
        <v>33.975999999999999</v>
      </c>
      <c r="L59" s="1">
        <f t="shared" si="14"/>
        <v>29.728999999999999</v>
      </c>
      <c r="M59" s="1">
        <f t="shared" si="14"/>
        <v>12.741</v>
      </c>
      <c r="N59" s="1">
        <f t="shared" si="14"/>
        <v>8.4939999999999998</v>
      </c>
      <c r="O59" s="1">
        <f t="shared" si="14"/>
        <v>4.2469999999999999</v>
      </c>
    </row>
    <row r="60" spans="2:16" ht="14.25" hidden="1" customHeight="1" x14ac:dyDescent="0.25">
      <c r="C60" s="1">
        <v>444.1</v>
      </c>
      <c r="D60" s="1">
        <f t="shared" ref="D60:O60" si="15">$C60*D$51/100</f>
        <v>4.4409999999999998</v>
      </c>
      <c r="E60" s="1">
        <f t="shared" si="15"/>
        <v>8.8819999999999997</v>
      </c>
      <c r="F60" s="1">
        <f t="shared" si="15"/>
        <v>22.204999999999998</v>
      </c>
      <c r="G60" s="1">
        <f t="shared" si="15"/>
        <v>44.41</v>
      </c>
      <c r="H60" s="1">
        <f t="shared" si="15"/>
        <v>66.614999999999995</v>
      </c>
      <c r="I60" s="1">
        <f t="shared" si="15"/>
        <v>111.02500000000001</v>
      </c>
      <c r="J60" s="1">
        <f t="shared" si="15"/>
        <v>93.26100000000001</v>
      </c>
      <c r="K60" s="1">
        <f t="shared" si="15"/>
        <v>35.527999999999999</v>
      </c>
      <c r="L60" s="1">
        <f t="shared" si="15"/>
        <v>31.087000000000003</v>
      </c>
      <c r="M60" s="1">
        <f t="shared" si="15"/>
        <v>13.323000000000002</v>
      </c>
      <c r="N60" s="1">
        <f t="shared" si="15"/>
        <v>8.8819999999999997</v>
      </c>
      <c r="O60" s="1">
        <f t="shared" si="15"/>
        <v>4.4409999999999998</v>
      </c>
    </row>
    <row r="61" spans="2:16" ht="14.25" hidden="1" customHeight="1" x14ac:dyDescent="0.25">
      <c r="C61" s="1">
        <v>31</v>
      </c>
      <c r="D61" s="1">
        <f t="shared" ref="D61:O61" si="16">$C61*D$51/100</f>
        <v>0.31</v>
      </c>
      <c r="E61" s="1">
        <f t="shared" si="16"/>
        <v>0.62</v>
      </c>
      <c r="F61" s="1">
        <f t="shared" si="16"/>
        <v>1.55</v>
      </c>
      <c r="G61" s="1">
        <f t="shared" si="16"/>
        <v>3.1</v>
      </c>
      <c r="H61" s="1">
        <f t="shared" si="16"/>
        <v>4.6500000000000004</v>
      </c>
      <c r="I61" s="1">
        <f t="shared" si="16"/>
        <v>7.75</v>
      </c>
      <c r="J61" s="1">
        <f t="shared" si="16"/>
        <v>6.51</v>
      </c>
      <c r="K61" s="1">
        <f t="shared" si="16"/>
        <v>2.48</v>
      </c>
      <c r="L61" s="1">
        <f t="shared" si="16"/>
        <v>2.17</v>
      </c>
      <c r="M61" s="1">
        <f t="shared" si="16"/>
        <v>0.93</v>
      </c>
      <c r="N61" s="1">
        <f t="shared" si="16"/>
        <v>0.62</v>
      </c>
      <c r="O61" s="1">
        <f t="shared" si="16"/>
        <v>0.31</v>
      </c>
    </row>
    <row r="62" spans="2:16" ht="14.25" hidden="1" customHeight="1" x14ac:dyDescent="0.25">
      <c r="C62" s="1">
        <v>0</v>
      </c>
      <c r="D62" s="1">
        <f t="shared" ref="D62:O62" si="17">$C62*D$51/100</f>
        <v>0</v>
      </c>
      <c r="E62" s="1">
        <f t="shared" si="17"/>
        <v>0</v>
      </c>
      <c r="F62" s="1">
        <f t="shared" si="17"/>
        <v>0</v>
      </c>
      <c r="G62" s="1">
        <f t="shared" si="17"/>
        <v>0</v>
      </c>
      <c r="H62" s="1">
        <f t="shared" si="17"/>
        <v>0</v>
      </c>
      <c r="I62" s="1">
        <f t="shared" si="17"/>
        <v>0</v>
      </c>
      <c r="J62" s="1">
        <f t="shared" si="17"/>
        <v>0</v>
      </c>
      <c r="K62" s="1">
        <f t="shared" si="17"/>
        <v>0</v>
      </c>
      <c r="L62" s="1">
        <f t="shared" si="17"/>
        <v>0</v>
      </c>
      <c r="M62" s="1">
        <f t="shared" si="17"/>
        <v>0</v>
      </c>
      <c r="N62" s="1">
        <f t="shared" si="17"/>
        <v>0</v>
      </c>
      <c r="O62" s="1">
        <f t="shared" si="17"/>
        <v>0</v>
      </c>
    </row>
    <row r="63" spans="2:16" ht="14.25" hidden="1" customHeight="1" x14ac:dyDescent="0.25">
      <c r="C63" s="1">
        <v>8.59</v>
      </c>
      <c r="D63" s="1">
        <f t="shared" ref="D63:O63" si="18">$C63*D$51/100</f>
        <v>8.5900000000000004E-2</v>
      </c>
      <c r="E63" s="1">
        <f t="shared" si="18"/>
        <v>0.17180000000000001</v>
      </c>
      <c r="F63" s="1">
        <f t="shared" si="18"/>
        <v>0.42950000000000005</v>
      </c>
      <c r="G63" s="1">
        <f t="shared" si="18"/>
        <v>0.8590000000000001</v>
      </c>
      <c r="H63" s="1">
        <f t="shared" si="18"/>
        <v>1.2885</v>
      </c>
      <c r="I63" s="1">
        <f t="shared" si="18"/>
        <v>2.1475</v>
      </c>
      <c r="J63" s="1">
        <f t="shared" si="18"/>
        <v>1.8038999999999998</v>
      </c>
      <c r="K63" s="1">
        <f t="shared" si="18"/>
        <v>0.68720000000000003</v>
      </c>
      <c r="L63" s="1">
        <f t="shared" si="18"/>
        <v>0.60129999999999995</v>
      </c>
      <c r="M63" s="1">
        <f t="shared" si="18"/>
        <v>0.25769999999999998</v>
      </c>
      <c r="N63" s="1">
        <f t="shared" si="18"/>
        <v>0.17180000000000001</v>
      </c>
      <c r="O63" s="1">
        <f t="shared" si="18"/>
        <v>8.5900000000000004E-2</v>
      </c>
    </row>
    <row r="64" spans="2:16" ht="14.25" hidden="1" customHeight="1" x14ac:dyDescent="0.25">
      <c r="C64" s="1">
        <v>132</v>
      </c>
      <c r="D64" s="1">
        <f t="shared" ref="D64:O64" si="19">$C64*D$51/100</f>
        <v>1.32</v>
      </c>
      <c r="E64" s="1">
        <f t="shared" si="19"/>
        <v>2.64</v>
      </c>
      <c r="F64" s="1">
        <f t="shared" si="19"/>
        <v>6.6</v>
      </c>
      <c r="G64" s="1">
        <f t="shared" si="19"/>
        <v>13.2</v>
      </c>
      <c r="H64" s="1">
        <f t="shared" si="19"/>
        <v>19.8</v>
      </c>
      <c r="I64" s="1">
        <f t="shared" si="19"/>
        <v>33</v>
      </c>
      <c r="J64" s="1">
        <f t="shared" si="19"/>
        <v>27.72</v>
      </c>
      <c r="K64" s="1">
        <f t="shared" si="19"/>
        <v>10.56</v>
      </c>
      <c r="L64" s="1">
        <f t="shared" si="19"/>
        <v>9.24</v>
      </c>
      <c r="M64" s="1">
        <f t="shared" si="19"/>
        <v>3.96</v>
      </c>
      <c r="N64" s="1">
        <f t="shared" si="19"/>
        <v>2.64</v>
      </c>
      <c r="O64" s="1">
        <f t="shared" si="19"/>
        <v>1.32</v>
      </c>
    </row>
    <row r="65" spans="3:15" ht="14.25" hidden="1" customHeight="1" x14ac:dyDescent="0.25">
      <c r="C65" s="1">
        <v>9.6</v>
      </c>
      <c r="D65" s="1">
        <f t="shared" ref="D65:O65" si="20">$C65*D$51/100</f>
        <v>9.6000000000000002E-2</v>
      </c>
      <c r="E65" s="1">
        <f t="shared" si="20"/>
        <v>0.192</v>
      </c>
      <c r="F65" s="1">
        <f t="shared" si="20"/>
        <v>0.48</v>
      </c>
      <c r="G65" s="1">
        <f t="shared" si="20"/>
        <v>0.96</v>
      </c>
      <c r="H65" s="1">
        <f t="shared" si="20"/>
        <v>1.44</v>
      </c>
      <c r="I65" s="1">
        <f t="shared" si="20"/>
        <v>2.4</v>
      </c>
      <c r="J65" s="1">
        <f t="shared" si="20"/>
        <v>2.016</v>
      </c>
      <c r="K65" s="1">
        <f t="shared" si="20"/>
        <v>0.76800000000000002</v>
      </c>
      <c r="L65" s="1">
        <f t="shared" si="20"/>
        <v>0.67200000000000004</v>
      </c>
      <c r="M65" s="1">
        <f t="shared" si="20"/>
        <v>0.28799999999999998</v>
      </c>
      <c r="N65" s="1">
        <f t="shared" si="20"/>
        <v>0.192</v>
      </c>
      <c r="O65" s="1">
        <f t="shared" si="20"/>
        <v>9.6000000000000002E-2</v>
      </c>
    </row>
    <row r="66" spans="3:15" ht="14.25" hidden="1" customHeight="1" x14ac:dyDescent="0.25">
      <c r="C66" s="1">
        <v>27.7</v>
      </c>
      <c r="D66" s="1">
        <f t="shared" ref="D66:O66" si="21">$C66*D$51/100</f>
        <v>0.27699999999999997</v>
      </c>
      <c r="E66" s="1">
        <f t="shared" si="21"/>
        <v>0.55399999999999994</v>
      </c>
      <c r="F66" s="1">
        <f t="shared" si="21"/>
        <v>1.385</v>
      </c>
      <c r="G66" s="1">
        <f t="shared" si="21"/>
        <v>2.77</v>
      </c>
      <c r="H66" s="1">
        <f t="shared" si="21"/>
        <v>4.1550000000000002</v>
      </c>
      <c r="I66" s="1">
        <f t="shared" si="21"/>
        <v>6.9249999999999998</v>
      </c>
      <c r="J66" s="1">
        <f t="shared" si="21"/>
        <v>5.8169999999999993</v>
      </c>
      <c r="K66" s="1">
        <f t="shared" si="21"/>
        <v>2.2159999999999997</v>
      </c>
      <c r="L66" s="1">
        <f t="shared" si="21"/>
        <v>1.9390000000000001</v>
      </c>
      <c r="M66" s="1">
        <f t="shared" si="21"/>
        <v>0.83099999999999996</v>
      </c>
      <c r="N66" s="1">
        <f t="shared" si="21"/>
        <v>0.55399999999999994</v>
      </c>
      <c r="O66" s="1">
        <f t="shared" si="21"/>
        <v>0.27699999999999997</v>
      </c>
    </row>
    <row r="67" spans="3:15" ht="14.25" hidden="1" customHeight="1" x14ac:dyDescent="0.25">
      <c r="C67" s="1">
        <v>22.51</v>
      </c>
      <c r="D67" s="1">
        <f t="shared" ref="D67:O67" si="22">$C67*D$51/100</f>
        <v>0.22510000000000002</v>
      </c>
      <c r="E67" s="1">
        <f t="shared" si="22"/>
        <v>0.45020000000000004</v>
      </c>
      <c r="F67" s="1">
        <f t="shared" si="22"/>
        <v>1.1255000000000002</v>
      </c>
      <c r="G67" s="1">
        <f t="shared" si="22"/>
        <v>2.2510000000000003</v>
      </c>
      <c r="H67" s="1">
        <f t="shared" si="22"/>
        <v>3.3765000000000005</v>
      </c>
      <c r="I67" s="1">
        <f t="shared" si="22"/>
        <v>5.6275000000000004</v>
      </c>
      <c r="J67" s="1">
        <f t="shared" si="22"/>
        <v>4.7271000000000001</v>
      </c>
      <c r="K67" s="1">
        <f t="shared" si="22"/>
        <v>1.8008000000000002</v>
      </c>
      <c r="L67" s="1">
        <f t="shared" si="22"/>
        <v>1.5757000000000003</v>
      </c>
      <c r="M67" s="1">
        <f t="shared" si="22"/>
        <v>0.67530000000000001</v>
      </c>
      <c r="N67" s="1">
        <f t="shared" si="22"/>
        <v>0.45020000000000004</v>
      </c>
      <c r="O67" s="1">
        <f t="shared" si="22"/>
        <v>0.22510000000000002</v>
      </c>
    </row>
    <row r="68" spans="3:15" ht="14.25" hidden="1" customHeight="1" x14ac:dyDescent="0.25">
      <c r="C68" s="1">
        <v>525.29999999999995</v>
      </c>
      <c r="D68" s="1">
        <f t="shared" ref="D68:O68" si="23">$C68*D$51/100</f>
        <v>5.2529999999999992</v>
      </c>
      <c r="E68" s="1">
        <f t="shared" si="23"/>
        <v>10.505999999999998</v>
      </c>
      <c r="F68" s="1">
        <f t="shared" si="23"/>
        <v>26.265000000000001</v>
      </c>
      <c r="G68" s="1">
        <f t="shared" si="23"/>
        <v>52.53</v>
      </c>
      <c r="H68" s="1">
        <f t="shared" si="23"/>
        <v>78.794999999999987</v>
      </c>
      <c r="I68" s="1">
        <f t="shared" si="23"/>
        <v>131.32499999999999</v>
      </c>
      <c r="J68" s="1">
        <f t="shared" si="23"/>
        <v>110.31299999999999</v>
      </c>
      <c r="K68" s="1">
        <f t="shared" si="23"/>
        <v>42.023999999999994</v>
      </c>
      <c r="L68" s="1">
        <f t="shared" si="23"/>
        <v>36.770999999999994</v>
      </c>
      <c r="M68" s="1">
        <f t="shared" si="23"/>
        <v>15.758999999999999</v>
      </c>
      <c r="N68" s="1">
        <f t="shared" si="23"/>
        <v>10.505999999999998</v>
      </c>
      <c r="O68" s="1">
        <f t="shared" si="23"/>
        <v>5.2529999999999992</v>
      </c>
    </row>
    <row r="69" spans="3:15" ht="14.25" hidden="1" customHeight="1" x14ac:dyDescent="0.25">
      <c r="C69" s="1">
        <v>29.9</v>
      </c>
      <c r="D69" s="1">
        <f t="shared" ref="D69:O69" si="24">$C69*D$51/100</f>
        <v>0.29899999999999999</v>
      </c>
      <c r="E69" s="1">
        <f t="shared" si="24"/>
        <v>0.59799999999999998</v>
      </c>
      <c r="F69" s="1">
        <f t="shared" si="24"/>
        <v>1.4950000000000001</v>
      </c>
      <c r="G69" s="1">
        <f t="shared" si="24"/>
        <v>2.99</v>
      </c>
      <c r="H69" s="1">
        <f t="shared" si="24"/>
        <v>4.4850000000000003</v>
      </c>
      <c r="I69" s="1">
        <f t="shared" si="24"/>
        <v>7.4749999999999996</v>
      </c>
      <c r="J69" s="1">
        <f t="shared" si="24"/>
        <v>6.2789999999999999</v>
      </c>
      <c r="K69" s="1">
        <f t="shared" si="24"/>
        <v>2.3919999999999999</v>
      </c>
      <c r="L69" s="1">
        <f t="shared" si="24"/>
        <v>2.093</v>
      </c>
      <c r="M69" s="1">
        <f t="shared" si="24"/>
        <v>0.89699999999999991</v>
      </c>
      <c r="N69" s="1">
        <f t="shared" si="24"/>
        <v>0.59799999999999998</v>
      </c>
      <c r="O69" s="1">
        <f t="shared" si="24"/>
        <v>0.29899999999999999</v>
      </c>
    </row>
    <row r="70" spans="3:15" ht="14.25" hidden="1" customHeight="1" x14ac:dyDescent="0.25">
      <c r="C70" s="1">
        <v>63.68</v>
      </c>
      <c r="D70" s="1">
        <f t="shared" ref="D70:O70" si="25">$C70*D$51/100</f>
        <v>0.63680000000000003</v>
      </c>
      <c r="E70" s="1">
        <f t="shared" si="25"/>
        <v>1.2736000000000001</v>
      </c>
      <c r="F70" s="1">
        <f t="shared" si="25"/>
        <v>3.1839999999999997</v>
      </c>
      <c r="G70" s="1">
        <f t="shared" si="25"/>
        <v>6.3679999999999994</v>
      </c>
      <c r="H70" s="1">
        <f t="shared" si="25"/>
        <v>9.5519999999999996</v>
      </c>
      <c r="I70" s="1">
        <f t="shared" si="25"/>
        <v>15.92</v>
      </c>
      <c r="J70" s="1">
        <f t="shared" si="25"/>
        <v>13.3728</v>
      </c>
      <c r="K70" s="1">
        <f t="shared" si="25"/>
        <v>5.0944000000000003</v>
      </c>
      <c r="L70" s="1">
        <f t="shared" si="25"/>
        <v>4.4576000000000002</v>
      </c>
      <c r="M70" s="1">
        <f t="shared" si="25"/>
        <v>1.9103999999999999</v>
      </c>
      <c r="N70" s="1">
        <f t="shared" si="25"/>
        <v>1.2736000000000001</v>
      </c>
      <c r="O70" s="1">
        <f t="shared" si="25"/>
        <v>0.63680000000000003</v>
      </c>
    </row>
    <row r="71" spans="3:15" ht="14.25" hidden="1" customHeight="1" x14ac:dyDescent="0.25">
      <c r="C71" s="1">
        <v>13.89</v>
      </c>
      <c r="D71" s="1">
        <f t="shared" ref="D71:O71" si="26">$C71*D$51/100</f>
        <v>0.1389</v>
      </c>
      <c r="E71" s="1">
        <f t="shared" si="26"/>
        <v>0.27779999999999999</v>
      </c>
      <c r="F71" s="1">
        <f t="shared" si="26"/>
        <v>0.69450000000000001</v>
      </c>
      <c r="G71" s="1">
        <f t="shared" si="26"/>
        <v>1.389</v>
      </c>
      <c r="H71" s="1">
        <f t="shared" si="26"/>
        <v>2.0835000000000004</v>
      </c>
      <c r="I71" s="1">
        <f t="shared" si="26"/>
        <v>3.4725000000000001</v>
      </c>
      <c r="J71" s="1">
        <f t="shared" si="26"/>
        <v>2.9169</v>
      </c>
      <c r="K71" s="1">
        <f t="shared" si="26"/>
        <v>1.1112</v>
      </c>
      <c r="L71" s="1">
        <f t="shared" si="26"/>
        <v>0.97230000000000005</v>
      </c>
      <c r="M71" s="1">
        <f t="shared" si="26"/>
        <v>0.41670000000000001</v>
      </c>
      <c r="N71" s="1">
        <f t="shared" si="26"/>
        <v>0.27779999999999999</v>
      </c>
      <c r="O71" s="1">
        <f t="shared" si="26"/>
        <v>0.1389</v>
      </c>
    </row>
    <row r="72" spans="3:15" ht="14.25" hidden="1" customHeight="1" x14ac:dyDescent="0.25">
      <c r="C72" s="1">
        <v>109.87</v>
      </c>
      <c r="D72" s="1">
        <f t="shared" ref="D72:O72" si="27">$C72*D$51/100</f>
        <v>1.0987</v>
      </c>
      <c r="E72" s="1">
        <f t="shared" si="27"/>
        <v>2.1974</v>
      </c>
      <c r="F72" s="1">
        <f t="shared" si="27"/>
        <v>5.4935</v>
      </c>
      <c r="G72" s="1">
        <f t="shared" si="27"/>
        <v>10.987</v>
      </c>
      <c r="H72" s="1">
        <f t="shared" si="27"/>
        <v>16.480500000000003</v>
      </c>
      <c r="I72" s="1">
        <f t="shared" si="27"/>
        <v>27.467500000000001</v>
      </c>
      <c r="J72" s="1">
        <f t="shared" si="27"/>
        <v>23.072700000000001</v>
      </c>
      <c r="K72" s="1">
        <f t="shared" si="27"/>
        <v>8.7896000000000001</v>
      </c>
      <c r="L72" s="1">
        <f t="shared" si="27"/>
        <v>7.6909000000000001</v>
      </c>
      <c r="M72" s="1">
        <f t="shared" si="27"/>
        <v>3.2961</v>
      </c>
      <c r="N72" s="1">
        <f t="shared" si="27"/>
        <v>2.1974</v>
      </c>
      <c r="O72" s="1">
        <f t="shared" si="27"/>
        <v>1.0987</v>
      </c>
    </row>
    <row r="73" spans="3:15" ht="14.25" hidden="1" customHeight="1" x14ac:dyDescent="0.25">
      <c r="C73" s="1">
        <v>295</v>
      </c>
      <c r="D73" s="1">
        <f t="shared" ref="D73:O73" si="28">$C73*D$51/100</f>
        <v>2.95</v>
      </c>
      <c r="E73" s="1">
        <f t="shared" si="28"/>
        <v>5.9</v>
      </c>
      <c r="F73" s="1">
        <f t="shared" si="28"/>
        <v>14.75</v>
      </c>
      <c r="G73" s="1">
        <f t="shared" si="28"/>
        <v>29.5</v>
      </c>
      <c r="H73" s="1">
        <f t="shared" si="28"/>
        <v>44.25</v>
      </c>
      <c r="I73" s="1">
        <f t="shared" si="28"/>
        <v>73.75</v>
      </c>
      <c r="J73" s="1">
        <f t="shared" si="28"/>
        <v>61.95</v>
      </c>
      <c r="K73" s="1">
        <f t="shared" si="28"/>
        <v>23.6</v>
      </c>
      <c r="L73" s="1">
        <f t="shared" si="28"/>
        <v>20.65</v>
      </c>
      <c r="M73" s="1">
        <f t="shared" si="28"/>
        <v>8.85</v>
      </c>
      <c r="N73" s="1">
        <f t="shared" si="28"/>
        <v>5.9</v>
      </c>
      <c r="O73" s="1">
        <f t="shared" si="28"/>
        <v>2.95</v>
      </c>
    </row>
    <row r="74" spans="3:15" ht="14.25" hidden="1" customHeight="1" x14ac:dyDescent="0.25">
      <c r="C74" s="1">
        <v>58.658999999999999</v>
      </c>
      <c r="D74" s="1">
        <f t="shared" ref="D74:O74" si="29">$C74*D$51/100</f>
        <v>0.58658999999999994</v>
      </c>
      <c r="E74" s="1">
        <f t="shared" si="29"/>
        <v>1.1731799999999999</v>
      </c>
      <c r="F74" s="1">
        <f t="shared" si="29"/>
        <v>2.9329499999999999</v>
      </c>
      <c r="G74" s="1">
        <f t="shared" si="29"/>
        <v>5.8658999999999999</v>
      </c>
      <c r="H74" s="1">
        <f t="shared" si="29"/>
        <v>8.7988499999999998</v>
      </c>
      <c r="I74" s="1">
        <f t="shared" si="29"/>
        <v>14.66475</v>
      </c>
      <c r="J74" s="1">
        <f t="shared" si="29"/>
        <v>12.318389999999999</v>
      </c>
      <c r="K74" s="1">
        <f t="shared" si="29"/>
        <v>4.6927199999999996</v>
      </c>
      <c r="L74" s="1">
        <f t="shared" si="29"/>
        <v>4.1061300000000003</v>
      </c>
      <c r="M74" s="1">
        <f t="shared" si="29"/>
        <v>1.7597700000000001</v>
      </c>
      <c r="N74" s="1">
        <f t="shared" si="29"/>
        <v>1.1731799999999999</v>
      </c>
      <c r="O74" s="1">
        <f t="shared" si="29"/>
        <v>0.58658999999999994</v>
      </c>
    </row>
    <row r="75" spans="3:15" ht="14.25" hidden="1" customHeight="1" x14ac:dyDescent="0.25">
      <c r="C75" s="1">
        <v>173</v>
      </c>
      <c r="D75" s="1">
        <f t="shared" ref="D75:O75" si="30">$C75*D$51/100</f>
        <v>1.73</v>
      </c>
      <c r="E75" s="1">
        <f t="shared" si="30"/>
        <v>3.46</v>
      </c>
      <c r="F75" s="1">
        <f t="shared" si="30"/>
        <v>8.65</v>
      </c>
      <c r="G75" s="1">
        <f t="shared" si="30"/>
        <v>17.3</v>
      </c>
      <c r="H75" s="1">
        <f t="shared" si="30"/>
        <v>25.95</v>
      </c>
      <c r="I75" s="1">
        <f t="shared" si="30"/>
        <v>43.25</v>
      </c>
      <c r="J75" s="1">
        <f t="shared" si="30"/>
        <v>36.33</v>
      </c>
      <c r="K75" s="1">
        <f t="shared" si="30"/>
        <v>13.84</v>
      </c>
      <c r="L75" s="1">
        <f t="shared" si="30"/>
        <v>12.11</v>
      </c>
      <c r="M75" s="1">
        <f t="shared" si="30"/>
        <v>5.19</v>
      </c>
      <c r="N75" s="1">
        <f t="shared" si="30"/>
        <v>3.46</v>
      </c>
      <c r="O75" s="1">
        <f t="shared" si="30"/>
        <v>1.73</v>
      </c>
    </row>
    <row r="76" spans="3:15" ht="14.25" hidden="1" customHeight="1" x14ac:dyDescent="0.25">
      <c r="C76" s="1">
        <v>216.2</v>
      </c>
      <c r="D76" s="1">
        <f t="shared" ref="D76:O76" si="31">$C76*D$51/100</f>
        <v>2.1619999999999999</v>
      </c>
      <c r="E76" s="1">
        <f t="shared" si="31"/>
        <v>4.3239999999999998</v>
      </c>
      <c r="F76" s="1">
        <f t="shared" si="31"/>
        <v>10.81</v>
      </c>
      <c r="G76" s="1">
        <f t="shared" si="31"/>
        <v>21.62</v>
      </c>
      <c r="H76" s="1">
        <f t="shared" si="31"/>
        <v>32.43</v>
      </c>
      <c r="I76" s="1">
        <f t="shared" si="31"/>
        <v>54.05</v>
      </c>
      <c r="J76" s="1">
        <f t="shared" si="31"/>
        <v>45.402000000000001</v>
      </c>
      <c r="K76" s="1">
        <f t="shared" si="31"/>
        <v>17.295999999999999</v>
      </c>
      <c r="L76" s="1">
        <f t="shared" si="31"/>
        <v>15.133999999999999</v>
      </c>
      <c r="M76" s="1">
        <f t="shared" si="31"/>
        <v>6.4859999999999989</v>
      </c>
      <c r="N76" s="1">
        <f t="shared" si="31"/>
        <v>4.3239999999999998</v>
      </c>
      <c r="O76" s="1">
        <f t="shared" si="31"/>
        <v>2.1619999999999999</v>
      </c>
    </row>
    <row r="77" spans="3:15" ht="14.25" hidden="1" customHeight="1" x14ac:dyDescent="0.25">
      <c r="C77" s="1">
        <v>35.299999999999997</v>
      </c>
      <c r="D77" s="1">
        <f t="shared" ref="D77:O77" si="32">$C77*D$51/100</f>
        <v>0.35299999999999998</v>
      </c>
      <c r="E77" s="1">
        <f t="shared" si="32"/>
        <v>0.70599999999999996</v>
      </c>
      <c r="F77" s="1">
        <f t="shared" si="32"/>
        <v>1.7649999999999999</v>
      </c>
      <c r="G77" s="1">
        <f t="shared" si="32"/>
        <v>3.53</v>
      </c>
      <c r="H77" s="1">
        <f t="shared" si="32"/>
        <v>5.2949999999999999</v>
      </c>
      <c r="I77" s="1">
        <f t="shared" si="32"/>
        <v>8.8249999999999993</v>
      </c>
      <c r="J77" s="1">
        <f t="shared" si="32"/>
        <v>7.4129999999999994</v>
      </c>
      <c r="K77" s="1">
        <f t="shared" si="32"/>
        <v>2.8239999999999998</v>
      </c>
      <c r="L77" s="1">
        <f t="shared" si="32"/>
        <v>2.4709999999999996</v>
      </c>
      <c r="M77" s="1">
        <f t="shared" si="32"/>
        <v>1.0589999999999999</v>
      </c>
      <c r="N77" s="1">
        <f t="shared" si="32"/>
        <v>0.70599999999999996</v>
      </c>
      <c r="O77" s="1">
        <f t="shared" si="32"/>
        <v>0.35299999999999998</v>
      </c>
    </row>
    <row r="78" spans="3:15" ht="14.25" hidden="1" customHeight="1" x14ac:dyDescent="0.25">
      <c r="C78" s="1">
        <v>0</v>
      </c>
      <c r="D78" s="1">
        <f t="shared" ref="D78:O78" si="33">$C78*D$51/100</f>
        <v>0</v>
      </c>
      <c r="E78" s="1">
        <f t="shared" si="33"/>
        <v>0</v>
      </c>
      <c r="F78" s="1">
        <f t="shared" si="33"/>
        <v>0</v>
      </c>
      <c r="G78" s="1">
        <f t="shared" si="33"/>
        <v>0</v>
      </c>
      <c r="H78" s="1">
        <f t="shared" si="33"/>
        <v>0</v>
      </c>
      <c r="I78" s="1">
        <f t="shared" si="33"/>
        <v>0</v>
      </c>
      <c r="J78" s="1">
        <f t="shared" si="33"/>
        <v>0</v>
      </c>
      <c r="K78" s="1">
        <f t="shared" si="33"/>
        <v>0</v>
      </c>
      <c r="L78" s="1">
        <f t="shared" si="33"/>
        <v>0</v>
      </c>
      <c r="M78" s="1">
        <f t="shared" si="33"/>
        <v>0</v>
      </c>
      <c r="N78" s="1">
        <f t="shared" si="33"/>
        <v>0</v>
      </c>
      <c r="O78" s="1">
        <f t="shared" si="33"/>
        <v>0</v>
      </c>
    </row>
    <row r="79" spans="3:15" ht="14.25" hidden="1" customHeight="1" x14ac:dyDescent="0.25">
      <c r="C79" s="1">
        <v>11.3</v>
      </c>
      <c r="D79" s="1">
        <f t="shared" ref="D79:O79" si="34">$C79*D$51/100</f>
        <v>0.113</v>
      </c>
      <c r="E79" s="1">
        <f t="shared" si="34"/>
        <v>0.22600000000000001</v>
      </c>
      <c r="F79" s="1">
        <f t="shared" si="34"/>
        <v>0.56499999999999995</v>
      </c>
      <c r="G79" s="1">
        <f t="shared" si="34"/>
        <v>1.1299999999999999</v>
      </c>
      <c r="H79" s="1">
        <f t="shared" si="34"/>
        <v>1.6950000000000001</v>
      </c>
      <c r="I79" s="1">
        <f t="shared" si="34"/>
        <v>2.8250000000000002</v>
      </c>
      <c r="J79" s="1">
        <f t="shared" si="34"/>
        <v>2.3730000000000002</v>
      </c>
      <c r="K79" s="1">
        <f t="shared" si="34"/>
        <v>0.90400000000000003</v>
      </c>
      <c r="L79" s="1">
        <f t="shared" si="34"/>
        <v>0.79100000000000004</v>
      </c>
      <c r="M79" s="1">
        <f t="shared" si="34"/>
        <v>0.33900000000000008</v>
      </c>
      <c r="N79" s="1">
        <f t="shared" si="34"/>
        <v>0.22600000000000001</v>
      </c>
      <c r="O79" s="1">
        <f t="shared" si="34"/>
        <v>0.113</v>
      </c>
    </row>
    <row r="80" spans="3:15" ht="14.25" hidden="1" customHeight="1" x14ac:dyDescent="0.25">
      <c r="C80" s="1">
        <v>31.8</v>
      </c>
      <c r="D80" s="1">
        <f t="shared" ref="D80:O80" si="35">$C80*D$51/100</f>
        <v>0.318</v>
      </c>
      <c r="E80" s="1">
        <f t="shared" si="35"/>
        <v>0.63600000000000001</v>
      </c>
      <c r="F80" s="1">
        <f t="shared" si="35"/>
        <v>1.59</v>
      </c>
      <c r="G80" s="1">
        <f t="shared" si="35"/>
        <v>3.18</v>
      </c>
      <c r="H80" s="1">
        <f t="shared" si="35"/>
        <v>4.7699999999999996</v>
      </c>
      <c r="I80" s="1">
        <f t="shared" si="35"/>
        <v>7.95</v>
      </c>
      <c r="J80" s="1">
        <f t="shared" si="35"/>
        <v>6.6780000000000008</v>
      </c>
      <c r="K80" s="1">
        <f t="shared" si="35"/>
        <v>2.544</v>
      </c>
      <c r="L80" s="1">
        <f t="shared" si="35"/>
        <v>2.226</v>
      </c>
      <c r="M80" s="1">
        <f t="shared" si="35"/>
        <v>0.95400000000000007</v>
      </c>
      <c r="N80" s="1">
        <f t="shared" si="35"/>
        <v>0.63600000000000001</v>
      </c>
      <c r="O80" s="1">
        <f t="shared" si="35"/>
        <v>0.318</v>
      </c>
    </row>
    <row r="81" spans="3:15" ht="14.25" hidden="1" customHeight="1" x14ac:dyDescent="0.25">
      <c r="C81" s="1">
        <v>24.8</v>
      </c>
      <c r="D81" s="1">
        <f t="shared" ref="D81:O81" si="36">$C81*D$51/100</f>
        <v>0.248</v>
      </c>
      <c r="E81" s="1">
        <f t="shared" si="36"/>
        <v>0.496</v>
      </c>
      <c r="F81" s="1">
        <f t="shared" si="36"/>
        <v>1.24</v>
      </c>
      <c r="G81" s="1">
        <f t="shared" si="36"/>
        <v>2.48</v>
      </c>
      <c r="H81" s="1">
        <f t="shared" si="36"/>
        <v>3.72</v>
      </c>
      <c r="I81" s="1">
        <f t="shared" si="36"/>
        <v>6.2</v>
      </c>
      <c r="J81" s="1">
        <f t="shared" si="36"/>
        <v>5.2080000000000011</v>
      </c>
      <c r="K81" s="1">
        <f t="shared" si="36"/>
        <v>1.984</v>
      </c>
      <c r="L81" s="1">
        <f t="shared" si="36"/>
        <v>1.736</v>
      </c>
      <c r="M81" s="1">
        <f t="shared" si="36"/>
        <v>0.74400000000000011</v>
      </c>
      <c r="N81" s="1">
        <f t="shared" si="36"/>
        <v>0.496</v>
      </c>
      <c r="O81" s="1">
        <f t="shared" si="36"/>
        <v>0.248</v>
      </c>
    </row>
    <row r="82" spans="3:15" ht="14.25" hidden="1" customHeight="1" x14ac:dyDescent="0.25">
      <c r="C82" s="1">
        <v>66.7</v>
      </c>
      <c r="D82" s="1">
        <f t="shared" ref="D82:O82" si="37">$C82*D$51/100</f>
        <v>0.66700000000000004</v>
      </c>
      <c r="E82" s="1">
        <f t="shared" si="37"/>
        <v>1.3340000000000001</v>
      </c>
      <c r="F82" s="1">
        <f t="shared" si="37"/>
        <v>3.335</v>
      </c>
      <c r="G82" s="1">
        <f t="shared" si="37"/>
        <v>6.67</v>
      </c>
      <c r="H82" s="1">
        <f t="shared" si="37"/>
        <v>10.005000000000001</v>
      </c>
      <c r="I82" s="1">
        <f t="shared" si="37"/>
        <v>16.675000000000001</v>
      </c>
      <c r="J82" s="1">
        <f t="shared" si="37"/>
        <v>14.007</v>
      </c>
      <c r="K82" s="1">
        <f t="shared" si="37"/>
        <v>5.3360000000000003</v>
      </c>
      <c r="L82" s="1">
        <f t="shared" si="37"/>
        <v>4.6690000000000005</v>
      </c>
      <c r="M82" s="1">
        <f t="shared" si="37"/>
        <v>2.0010000000000003</v>
      </c>
      <c r="N82" s="1">
        <f t="shared" si="37"/>
        <v>1.3340000000000001</v>
      </c>
      <c r="O82" s="1">
        <f t="shared" si="37"/>
        <v>0.66700000000000004</v>
      </c>
    </row>
    <row r="83" spans="3:15" ht="14.25" hidden="1" customHeight="1" x14ac:dyDescent="0.25">
      <c r="C83" s="1">
        <v>28</v>
      </c>
      <c r="D83" s="1">
        <f t="shared" ref="D83:O83" si="38">$C83*D$51/100</f>
        <v>0.28000000000000003</v>
      </c>
      <c r="E83" s="1">
        <f t="shared" si="38"/>
        <v>0.56000000000000005</v>
      </c>
      <c r="F83" s="1">
        <f t="shared" si="38"/>
        <v>1.4</v>
      </c>
      <c r="G83" s="1">
        <f t="shared" si="38"/>
        <v>2.8</v>
      </c>
      <c r="H83" s="1">
        <f t="shared" si="38"/>
        <v>4.2</v>
      </c>
      <c r="I83" s="1">
        <f t="shared" si="38"/>
        <v>7</v>
      </c>
      <c r="J83" s="1">
        <f t="shared" si="38"/>
        <v>5.88</v>
      </c>
      <c r="K83" s="1">
        <f t="shared" si="38"/>
        <v>2.2400000000000002</v>
      </c>
      <c r="L83" s="1">
        <f t="shared" si="38"/>
        <v>1.96</v>
      </c>
      <c r="M83" s="1">
        <f t="shared" si="38"/>
        <v>0.84</v>
      </c>
      <c r="N83" s="1">
        <f t="shared" si="38"/>
        <v>0.56000000000000005</v>
      </c>
      <c r="O83" s="1">
        <f t="shared" si="38"/>
        <v>0.28000000000000003</v>
      </c>
    </row>
    <row r="84" spans="3:15" ht="14.25" hidden="1" customHeight="1" x14ac:dyDescent="0.25">
      <c r="C84" s="1">
        <v>45.3</v>
      </c>
      <c r="D84" s="1">
        <f t="shared" ref="D84:O84" si="39">$C84*D$51/100</f>
        <v>0.45299999999999996</v>
      </c>
      <c r="E84" s="1">
        <f t="shared" si="39"/>
        <v>0.90599999999999992</v>
      </c>
      <c r="F84" s="1">
        <f t="shared" si="39"/>
        <v>2.2650000000000001</v>
      </c>
      <c r="G84" s="1">
        <f t="shared" si="39"/>
        <v>4.53</v>
      </c>
      <c r="H84" s="1">
        <f t="shared" si="39"/>
        <v>6.7949999999999999</v>
      </c>
      <c r="I84" s="1">
        <f t="shared" si="39"/>
        <v>11.324999999999999</v>
      </c>
      <c r="J84" s="1">
        <f t="shared" si="39"/>
        <v>9.5129999999999999</v>
      </c>
      <c r="K84" s="1">
        <f t="shared" si="39"/>
        <v>3.6239999999999997</v>
      </c>
      <c r="L84" s="1">
        <f t="shared" si="39"/>
        <v>3.1709999999999998</v>
      </c>
      <c r="M84" s="1">
        <f t="shared" si="39"/>
        <v>1.3589999999999998</v>
      </c>
      <c r="N84" s="1">
        <f t="shared" si="39"/>
        <v>0.90599999999999992</v>
      </c>
      <c r="O84" s="1">
        <f t="shared" si="39"/>
        <v>0.45299999999999996</v>
      </c>
    </row>
    <row r="85" spans="3:15" ht="14.25" hidden="1" customHeight="1" x14ac:dyDescent="0.25">
      <c r="C85" s="1">
        <v>55</v>
      </c>
      <c r="D85" s="1">
        <f t="shared" ref="D85:O85" si="40">$C85*D$51/100</f>
        <v>0.55000000000000004</v>
      </c>
      <c r="E85" s="1">
        <f t="shared" si="40"/>
        <v>1.1000000000000001</v>
      </c>
      <c r="F85" s="1">
        <f t="shared" si="40"/>
        <v>2.75</v>
      </c>
      <c r="G85" s="1">
        <f t="shared" si="40"/>
        <v>5.5</v>
      </c>
      <c r="H85" s="1">
        <f t="shared" si="40"/>
        <v>8.25</v>
      </c>
      <c r="I85" s="1">
        <f t="shared" si="40"/>
        <v>13.75</v>
      </c>
      <c r="J85" s="1">
        <f t="shared" si="40"/>
        <v>11.55</v>
      </c>
      <c r="K85" s="1">
        <f t="shared" si="40"/>
        <v>4.4000000000000004</v>
      </c>
      <c r="L85" s="1">
        <f t="shared" si="40"/>
        <v>3.85</v>
      </c>
      <c r="M85" s="1">
        <f t="shared" si="40"/>
        <v>1.65</v>
      </c>
      <c r="N85" s="1">
        <f t="shared" si="40"/>
        <v>1.1000000000000001</v>
      </c>
      <c r="O85" s="1">
        <f t="shared" si="40"/>
        <v>0.55000000000000004</v>
      </c>
    </row>
    <row r="86" spans="3:15" ht="14.25" hidden="1" customHeight="1" x14ac:dyDescent="0.25">
      <c r="C86" s="1">
        <v>1.04</v>
      </c>
      <c r="D86" s="1">
        <f t="shared" ref="D86:O86" si="41">$C86*D$51/100</f>
        <v>1.04E-2</v>
      </c>
      <c r="E86" s="1">
        <f t="shared" si="41"/>
        <v>2.0799999999999999E-2</v>
      </c>
      <c r="F86" s="1">
        <f t="shared" si="41"/>
        <v>5.2000000000000005E-2</v>
      </c>
      <c r="G86" s="1">
        <f t="shared" si="41"/>
        <v>0.10400000000000001</v>
      </c>
      <c r="H86" s="1">
        <f t="shared" si="41"/>
        <v>0.15600000000000003</v>
      </c>
      <c r="I86" s="1">
        <f t="shared" si="41"/>
        <v>0.26</v>
      </c>
      <c r="J86" s="1">
        <f t="shared" si="41"/>
        <v>0.21840000000000001</v>
      </c>
      <c r="K86" s="1">
        <f t="shared" si="41"/>
        <v>8.3199999999999996E-2</v>
      </c>
      <c r="L86" s="1">
        <f t="shared" si="41"/>
        <v>7.2800000000000004E-2</v>
      </c>
      <c r="M86" s="1">
        <f t="shared" si="41"/>
        <v>3.1200000000000002E-2</v>
      </c>
      <c r="N86" s="1">
        <f t="shared" si="41"/>
        <v>2.0799999999999999E-2</v>
      </c>
      <c r="O86" s="1">
        <f t="shared" si="41"/>
        <v>1.04E-2</v>
      </c>
    </row>
    <row r="87" spans="3:15" ht="14.25" hidden="1" customHeight="1" x14ac:dyDescent="0.25">
      <c r="C87" s="1">
        <v>12.38</v>
      </c>
      <c r="D87" s="1">
        <f t="shared" ref="D87:O87" si="42">$C87*D$51/100</f>
        <v>0.12380000000000001</v>
      </c>
      <c r="E87" s="1">
        <f t="shared" si="42"/>
        <v>0.24760000000000001</v>
      </c>
      <c r="F87" s="1">
        <f t="shared" si="42"/>
        <v>0.61900000000000011</v>
      </c>
      <c r="G87" s="1">
        <f t="shared" si="42"/>
        <v>1.2380000000000002</v>
      </c>
      <c r="H87" s="1">
        <f t="shared" si="42"/>
        <v>1.8570000000000002</v>
      </c>
      <c r="I87" s="1">
        <f t="shared" si="42"/>
        <v>3.0950000000000002</v>
      </c>
      <c r="J87" s="1">
        <f t="shared" si="42"/>
        <v>2.5998000000000001</v>
      </c>
      <c r="K87" s="1">
        <f t="shared" si="42"/>
        <v>0.99040000000000006</v>
      </c>
      <c r="L87" s="1">
        <f t="shared" si="42"/>
        <v>0.86660000000000015</v>
      </c>
      <c r="M87" s="1">
        <f t="shared" si="42"/>
        <v>0.37140000000000001</v>
      </c>
      <c r="N87" s="1">
        <f t="shared" si="42"/>
        <v>0.24760000000000001</v>
      </c>
      <c r="O87" s="1">
        <f t="shared" si="42"/>
        <v>0.12380000000000001</v>
      </c>
    </row>
    <row r="88" spans="3:15" ht="14.25" hidden="1" customHeight="1" x14ac:dyDescent="0.25">
      <c r="C88" s="1">
        <v>0</v>
      </c>
      <c r="D88" s="1">
        <f t="shared" ref="D88:O88" si="43">$C88*D$51/100</f>
        <v>0</v>
      </c>
      <c r="E88" s="1">
        <f t="shared" si="43"/>
        <v>0</v>
      </c>
      <c r="F88" s="1">
        <f t="shared" si="43"/>
        <v>0</v>
      </c>
      <c r="G88" s="1">
        <f t="shared" si="43"/>
        <v>0</v>
      </c>
      <c r="H88" s="1">
        <f t="shared" si="43"/>
        <v>0</v>
      </c>
      <c r="I88" s="1">
        <f t="shared" si="43"/>
        <v>0</v>
      </c>
      <c r="J88" s="1">
        <f t="shared" si="43"/>
        <v>0</v>
      </c>
      <c r="K88" s="1">
        <f t="shared" si="43"/>
        <v>0</v>
      </c>
      <c r="L88" s="1">
        <f t="shared" si="43"/>
        <v>0</v>
      </c>
      <c r="M88" s="1">
        <f t="shared" si="43"/>
        <v>0</v>
      </c>
      <c r="N88" s="1">
        <f t="shared" si="43"/>
        <v>0</v>
      </c>
      <c r="O88" s="1">
        <f t="shared" si="43"/>
        <v>0</v>
      </c>
    </row>
    <row r="89" spans="3:15" ht="14.25" hidden="1" customHeight="1" x14ac:dyDescent="0.25">
      <c r="C89" s="1">
        <v>62</v>
      </c>
      <c r="D89" s="1">
        <f t="shared" ref="D89:O89" si="44">$C89*D$51/100</f>
        <v>0.62</v>
      </c>
      <c r="E89" s="1">
        <f t="shared" si="44"/>
        <v>1.24</v>
      </c>
      <c r="F89" s="1">
        <f t="shared" si="44"/>
        <v>3.1</v>
      </c>
      <c r="G89" s="1">
        <f t="shared" si="44"/>
        <v>6.2</v>
      </c>
      <c r="H89" s="1">
        <f t="shared" si="44"/>
        <v>9.3000000000000007</v>
      </c>
      <c r="I89" s="1">
        <f t="shared" si="44"/>
        <v>15.5</v>
      </c>
      <c r="J89" s="1">
        <f t="shared" si="44"/>
        <v>13.02</v>
      </c>
      <c r="K89" s="1">
        <f t="shared" si="44"/>
        <v>4.96</v>
      </c>
      <c r="L89" s="1">
        <f t="shared" si="44"/>
        <v>4.34</v>
      </c>
      <c r="M89" s="1">
        <f t="shared" si="44"/>
        <v>1.86</v>
      </c>
      <c r="N89" s="1">
        <f t="shared" si="44"/>
        <v>1.24</v>
      </c>
      <c r="O89" s="1">
        <f t="shared" si="44"/>
        <v>0.62</v>
      </c>
    </row>
    <row r="90" spans="3:15" ht="14.25" hidden="1" customHeight="1" x14ac:dyDescent="0.25">
      <c r="C90" s="1">
        <v>0.75</v>
      </c>
      <c r="D90" s="1">
        <f t="shared" ref="D90:O90" si="45">$C90*D$51/100</f>
        <v>7.4999999999999997E-3</v>
      </c>
      <c r="E90" s="1">
        <f t="shared" si="45"/>
        <v>1.4999999999999999E-2</v>
      </c>
      <c r="F90" s="1">
        <f t="shared" si="45"/>
        <v>3.7499999999999999E-2</v>
      </c>
      <c r="G90" s="1">
        <f t="shared" si="45"/>
        <v>7.4999999999999997E-2</v>
      </c>
      <c r="H90" s="1">
        <f t="shared" si="45"/>
        <v>0.1125</v>
      </c>
      <c r="I90" s="1">
        <f t="shared" si="45"/>
        <v>0.1875</v>
      </c>
      <c r="J90" s="1">
        <f t="shared" si="45"/>
        <v>0.1575</v>
      </c>
      <c r="K90" s="1">
        <f t="shared" si="45"/>
        <v>0.06</v>
      </c>
      <c r="L90" s="1">
        <f t="shared" si="45"/>
        <v>5.2499999999999998E-2</v>
      </c>
      <c r="M90" s="1">
        <f t="shared" si="45"/>
        <v>2.2499999999999999E-2</v>
      </c>
      <c r="N90" s="1">
        <f t="shared" si="45"/>
        <v>1.4999999999999999E-2</v>
      </c>
      <c r="O90" s="1">
        <f t="shared" si="45"/>
        <v>7.4999999999999997E-3</v>
      </c>
    </row>
    <row r="91" spans="3:15" ht="14.25" hidden="1" customHeight="1" x14ac:dyDescent="0.25">
      <c r="C91" s="1">
        <v>18.2</v>
      </c>
      <c r="D91" s="1">
        <f t="shared" ref="D91:O91" si="46">$C91*D$51/100</f>
        <v>0.182</v>
      </c>
      <c r="E91" s="1">
        <f t="shared" si="46"/>
        <v>0.36399999999999999</v>
      </c>
      <c r="F91" s="1">
        <f t="shared" si="46"/>
        <v>0.91</v>
      </c>
      <c r="G91" s="1">
        <f t="shared" si="46"/>
        <v>1.82</v>
      </c>
      <c r="H91" s="1">
        <f t="shared" si="46"/>
        <v>2.73</v>
      </c>
      <c r="I91" s="1">
        <f t="shared" si="46"/>
        <v>4.55</v>
      </c>
      <c r="J91" s="1">
        <f t="shared" si="46"/>
        <v>3.8220000000000001</v>
      </c>
      <c r="K91" s="1">
        <f t="shared" si="46"/>
        <v>1.456</v>
      </c>
      <c r="L91" s="1">
        <f t="shared" si="46"/>
        <v>1.274</v>
      </c>
      <c r="M91" s="1">
        <f t="shared" si="46"/>
        <v>0.54599999999999993</v>
      </c>
      <c r="N91" s="1">
        <f t="shared" si="46"/>
        <v>0.36399999999999999</v>
      </c>
      <c r="O91" s="1">
        <f t="shared" si="46"/>
        <v>0.182</v>
      </c>
    </row>
    <row r="92" spans="3:15" ht="14.25" hidden="1" customHeight="1" x14ac:dyDescent="0.25">
      <c r="C92" s="1">
        <v>9.8000000000000007</v>
      </c>
      <c r="D92" s="1">
        <f t="shared" ref="D92:O92" si="47">$C92*D$51/100</f>
        <v>9.8000000000000004E-2</v>
      </c>
      <c r="E92" s="1">
        <f t="shared" si="47"/>
        <v>0.19600000000000001</v>
      </c>
      <c r="F92" s="1">
        <f t="shared" si="47"/>
        <v>0.49</v>
      </c>
      <c r="G92" s="1">
        <f t="shared" si="47"/>
        <v>0.98</v>
      </c>
      <c r="H92" s="1">
        <f t="shared" si="47"/>
        <v>1.47</v>
      </c>
      <c r="I92" s="1">
        <f t="shared" si="47"/>
        <v>2.4500000000000002</v>
      </c>
      <c r="J92" s="1">
        <f t="shared" si="47"/>
        <v>2.0580000000000003</v>
      </c>
      <c r="K92" s="1">
        <f t="shared" si="47"/>
        <v>0.78400000000000003</v>
      </c>
      <c r="L92" s="1">
        <f t="shared" si="47"/>
        <v>0.68600000000000005</v>
      </c>
      <c r="M92" s="1">
        <f t="shared" si="47"/>
        <v>0.29400000000000004</v>
      </c>
      <c r="N92" s="1">
        <f t="shared" si="47"/>
        <v>0.19600000000000001</v>
      </c>
      <c r="O92" s="1">
        <f t="shared" si="47"/>
        <v>9.8000000000000004E-2</v>
      </c>
    </row>
    <row r="93" spans="3:15" ht="14.25" hidden="1" customHeight="1" x14ac:dyDescent="0.25">
      <c r="C93" s="1">
        <v>26.52</v>
      </c>
      <c r="D93" s="1">
        <f t="shared" ref="D93:O93" si="48">$C93*D$51/100</f>
        <v>0.26519999999999999</v>
      </c>
      <c r="E93" s="1">
        <f t="shared" si="48"/>
        <v>0.53039999999999998</v>
      </c>
      <c r="F93" s="1">
        <f t="shared" si="48"/>
        <v>1.3259999999999998</v>
      </c>
      <c r="G93" s="1">
        <f t="shared" si="48"/>
        <v>2.6519999999999997</v>
      </c>
      <c r="H93" s="1">
        <f t="shared" si="48"/>
        <v>3.9780000000000002</v>
      </c>
      <c r="I93" s="1">
        <f t="shared" si="48"/>
        <v>6.63</v>
      </c>
      <c r="J93" s="1">
        <f t="shared" si="48"/>
        <v>5.5691999999999995</v>
      </c>
      <c r="K93" s="1">
        <f t="shared" si="48"/>
        <v>2.1215999999999999</v>
      </c>
      <c r="L93" s="1">
        <f t="shared" si="48"/>
        <v>1.8563999999999998</v>
      </c>
      <c r="M93" s="1">
        <f t="shared" si="48"/>
        <v>0.79559999999999997</v>
      </c>
      <c r="N93" s="1">
        <f t="shared" si="48"/>
        <v>0.53039999999999998</v>
      </c>
      <c r="O93" s="1">
        <f t="shared" si="48"/>
        <v>0.26519999999999999</v>
      </c>
    </row>
    <row r="94" spans="3:15" ht="14.25" hidden="1" customHeight="1" x14ac:dyDescent="0.25">
      <c r="C94" s="1">
        <v>12.59</v>
      </c>
      <c r="D94" s="1">
        <f t="shared" ref="D94:O94" si="49">$C94*D$51/100</f>
        <v>0.12590000000000001</v>
      </c>
      <c r="E94" s="1">
        <f t="shared" si="49"/>
        <v>0.25180000000000002</v>
      </c>
      <c r="F94" s="1">
        <f t="shared" si="49"/>
        <v>0.62950000000000006</v>
      </c>
      <c r="G94" s="1">
        <f t="shared" si="49"/>
        <v>1.2590000000000001</v>
      </c>
      <c r="H94" s="1">
        <f t="shared" si="49"/>
        <v>1.8884999999999998</v>
      </c>
      <c r="I94" s="1">
        <f t="shared" si="49"/>
        <v>3.1475</v>
      </c>
      <c r="J94" s="1">
        <f t="shared" si="49"/>
        <v>2.6438999999999999</v>
      </c>
      <c r="K94" s="1">
        <f t="shared" si="49"/>
        <v>1.0072000000000001</v>
      </c>
      <c r="L94" s="1">
        <f t="shared" si="49"/>
        <v>0.88129999999999997</v>
      </c>
      <c r="M94" s="1">
        <f t="shared" si="49"/>
        <v>0.37769999999999998</v>
      </c>
      <c r="N94" s="1">
        <f t="shared" si="49"/>
        <v>0.25180000000000002</v>
      </c>
      <c r="O94" s="1">
        <f t="shared" si="49"/>
        <v>0.12590000000000001</v>
      </c>
    </row>
    <row r="95" spans="3:15" ht="14.25" hidden="1" customHeight="1" x14ac:dyDescent="0.25">
      <c r="C95" s="1">
        <v>10.35</v>
      </c>
      <c r="D95" s="1">
        <f t="shared" ref="D95:O95" si="50">$C95*D$51/100</f>
        <v>0.10349999999999999</v>
      </c>
      <c r="E95" s="1">
        <f t="shared" si="50"/>
        <v>0.20699999999999999</v>
      </c>
      <c r="F95" s="1">
        <f t="shared" si="50"/>
        <v>0.51749999999999996</v>
      </c>
      <c r="G95" s="1">
        <f t="shared" si="50"/>
        <v>1.0349999999999999</v>
      </c>
      <c r="H95" s="1">
        <f t="shared" si="50"/>
        <v>1.5525</v>
      </c>
      <c r="I95" s="1">
        <f t="shared" si="50"/>
        <v>2.5874999999999999</v>
      </c>
      <c r="J95" s="1">
        <f t="shared" si="50"/>
        <v>2.1734999999999998</v>
      </c>
      <c r="K95" s="1">
        <f t="shared" si="50"/>
        <v>0.82799999999999996</v>
      </c>
      <c r="L95" s="1">
        <f t="shared" si="50"/>
        <v>0.72450000000000003</v>
      </c>
      <c r="M95" s="1">
        <f t="shared" si="50"/>
        <v>0.3105</v>
      </c>
      <c r="N95" s="1">
        <f t="shared" si="50"/>
        <v>0.20699999999999999</v>
      </c>
      <c r="O95" s="1">
        <f t="shared" si="50"/>
        <v>0.10349999999999999</v>
      </c>
    </row>
    <row r="96" spans="3:15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</sheetData>
  <mergeCells count="23">
    <mergeCell ref="A1:Q1"/>
    <mergeCell ref="A2:Q2"/>
    <mergeCell ref="A4:A5"/>
    <mergeCell ref="B4:B5"/>
    <mergeCell ref="C4:C5"/>
    <mergeCell ref="D4:O4"/>
    <mergeCell ref="P4:P5"/>
    <mergeCell ref="A48:B48"/>
    <mergeCell ref="U6:U8"/>
    <mergeCell ref="U9:U10"/>
    <mergeCell ref="V9:V10"/>
    <mergeCell ref="W9:W10"/>
    <mergeCell ref="X9:X10"/>
    <mergeCell ref="Y9:Y10"/>
    <mergeCell ref="Z9:Z10"/>
    <mergeCell ref="AA9:AA10"/>
    <mergeCell ref="Q4:Q5"/>
    <mergeCell ref="V6:V8"/>
    <mergeCell ref="W6:W8"/>
    <mergeCell ref="X6:X8"/>
    <mergeCell ref="Y6:Y8"/>
    <mergeCell ref="Z6:Z8"/>
    <mergeCell ref="AA6:AA8"/>
  </mergeCells>
  <printOptions horizontalCentered="1" verticalCentered="1"/>
  <pageMargins left="0.70866141732283472" right="0.70866141732283472" top="0.74803149606299213" bottom="0.74803149606299213" header="0" footer="0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</sheetPr>
  <dimension ref="A1:K1000"/>
  <sheetViews>
    <sheetView workbookViewId="0"/>
  </sheetViews>
  <sheetFormatPr defaultColWidth="14.42578125" defaultRowHeight="15" customHeight="1" x14ac:dyDescent="0.25"/>
  <cols>
    <col min="1" max="1" width="20.85546875" customWidth="1"/>
    <col min="2" max="2" width="21.7109375" customWidth="1"/>
    <col min="3" max="3" width="14.28515625" customWidth="1"/>
    <col min="4" max="4" width="11.42578125" customWidth="1"/>
    <col min="5" max="5" width="31.5703125" customWidth="1"/>
    <col min="6" max="6" width="33.28515625" customWidth="1"/>
    <col min="7" max="7" width="11.7109375" customWidth="1"/>
    <col min="8" max="8" width="34.28515625" customWidth="1"/>
    <col min="9" max="9" width="29.140625" customWidth="1"/>
    <col min="10" max="10" width="82.5703125" hidden="1" customWidth="1"/>
    <col min="11" max="26" width="8.7109375" customWidth="1"/>
  </cols>
  <sheetData>
    <row r="1" spans="1:11" ht="14.25" customHeight="1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83</v>
      </c>
      <c r="F1" s="1" t="s">
        <v>84</v>
      </c>
      <c r="G1" s="1" t="s">
        <v>24</v>
      </c>
    </row>
    <row r="2" spans="1:11" ht="14.25" customHeight="1" x14ac:dyDescent="0.25">
      <c r="A2" s="1" t="s">
        <v>85</v>
      </c>
      <c r="B2" s="11">
        <f>PADI!V9</f>
        <v>0</v>
      </c>
      <c r="C2" s="11">
        <f>PADI!W9</f>
        <v>0</v>
      </c>
      <c r="D2" s="78">
        <f>PADI!X9</f>
        <v>0</v>
      </c>
      <c r="E2" s="79">
        <f>PADI!Y9</f>
        <v>0</v>
      </c>
      <c r="F2" s="79">
        <f>PADI!Z9</f>
        <v>0</v>
      </c>
      <c r="G2" s="78">
        <f>PADI!AA9</f>
        <v>0</v>
      </c>
      <c r="H2" s="1" t="s">
        <v>86</v>
      </c>
      <c r="I2" s="1" t="str">
        <f t="shared" ref="I2:I11" si="0">"Laporan Produksi "&amp;A2</f>
        <v>Laporan Produksi Padi</v>
      </c>
      <c r="J2" s="80" t="s">
        <v>87</v>
      </c>
      <c r="K2" s="1" t="s">
        <v>115</v>
      </c>
    </row>
    <row r="3" spans="1:11" ht="14.25" customHeight="1" x14ac:dyDescent="0.25">
      <c r="A3" s="1" t="s">
        <v>88</v>
      </c>
      <c r="B3" s="11">
        <f>JAGUNG!V9</f>
        <v>0</v>
      </c>
      <c r="C3" s="11">
        <f>JAGUNG!W9</f>
        <v>0</v>
      </c>
      <c r="D3" s="78">
        <f>JAGUNG!X9</f>
        <v>0</v>
      </c>
      <c r="E3" s="79">
        <f>JAGUNG!Y9</f>
        <v>0</v>
      </c>
      <c r="F3" s="79">
        <f>JAGUNG!Z9</f>
        <v>0</v>
      </c>
      <c r="G3" s="78">
        <f>JAGUNG!AA9</f>
        <v>0</v>
      </c>
      <c r="H3" s="1" t="s">
        <v>89</v>
      </c>
      <c r="I3" s="1" t="str">
        <f t="shared" si="0"/>
        <v>Laporan Produksi Jagung</v>
      </c>
      <c r="J3" s="81" t="s">
        <v>90</v>
      </c>
      <c r="K3" s="1" t="s">
        <v>116</v>
      </c>
    </row>
    <row r="4" spans="1:11" ht="14.25" customHeight="1" x14ac:dyDescent="0.25">
      <c r="A4" s="1" t="s">
        <v>91</v>
      </c>
      <c r="B4" s="11">
        <f>CABAI!V9</f>
        <v>0</v>
      </c>
      <c r="C4" s="11">
        <f>CABAI!W9</f>
        <v>0</v>
      </c>
      <c r="D4" s="78">
        <f>CABAI!X9</f>
        <v>0</v>
      </c>
      <c r="E4" s="79">
        <f>CABAI!Y9</f>
        <v>0</v>
      </c>
      <c r="F4" s="79">
        <f>CABAI!Z9</f>
        <v>0</v>
      </c>
      <c r="G4" s="78">
        <f>CABAI!AA9</f>
        <v>0</v>
      </c>
      <c r="H4" s="1" t="s">
        <v>92</v>
      </c>
      <c r="I4" s="1" t="str">
        <f t="shared" si="0"/>
        <v>Laporan Produksi Cabe</v>
      </c>
      <c r="J4" s="81" t="s">
        <v>93</v>
      </c>
      <c r="K4" s="1" t="s">
        <v>117</v>
      </c>
    </row>
    <row r="5" spans="1:11" ht="14.25" customHeight="1" x14ac:dyDescent="0.25">
      <c r="A5" s="1" t="s">
        <v>94</v>
      </c>
      <c r="B5" s="11">
        <f>'BAWANG MERAH'!V9</f>
        <v>0</v>
      </c>
      <c r="C5" s="11">
        <f>'BAWANG MERAH'!W9</f>
        <v>0</v>
      </c>
      <c r="D5" s="78">
        <f>'BAWANG MERAH'!X9</f>
        <v>0</v>
      </c>
      <c r="E5" s="79">
        <f>'BAWANG MERAH'!Y9</f>
        <v>0</v>
      </c>
      <c r="F5" s="79">
        <f>'BAWANG MERAH'!Z9</f>
        <v>0</v>
      </c>
      <c r="G5" s="78">
        <f>'BAWANG MERAH'!AA9</f>
        <v>0</v>
      </c>
      <c r="H5" s="1" t="s">
        <v>95</v>
      </c>
      <c r="I5" s="1" t="str">
        <f t="shared" si="0"/>
        <v>Laporan Produksi Bawang Merah</v>
      </c>
      <c r="J5" s="81" t="s">
        <v>96</v>
      </c>
      <c r="K5" s="1" t="s">
        <v>118</v>
      </c>
    </row>
    <row r="6" spans="1:11" ht="14.25" customHeight="1" x14ac:dyDescent="0.25">
      <c r="A6" s="1" t="s">
        <v>97</v>
      </c>
      <c r="B6" s="11">
        <f>KENTANG!V9</f>
        <v>0</v>
      </c>
      <c r="C6" s="11">
        <f>KENTANG!W9</f>
        <v>0</v>
      </c>
      <c r="D6" s="78">
        <f>KENTANG!X9</f>
        <v>0</v>
      </c>
      <c r="E6" s="79">
        <f>KENTANG!Y9</f>
        <v>0</v>
      </c>
      <c r="F6" s="79">
        <f>KENTANG!Z9</f>
        <v>0</v>
      </c>
      <c r="G6" s="78">
        <f>KENTANG!AA9</f>
        <v>0</v>
      </c>
      <c r="H6" s="1" t="s">
        <v>98</v>
      </c>
      <c r="I6" s="1" t="str">
        <f t="shared" si="0"/>
        <v>Laporan Produksi Kentang</v>
      </c>
      <c r="J6" s="81" t="s">
        <v>99</v>
      </c>
      <c r="K6" s="1" t="s">
        <v>119</v>
      </c>
    </row>
    <row r="7" spans="1:11" ht="14.25" customHeight="1" x14ac:dyDescent="0.25">
      <c r="A7" s="1" t="s">
        <v>100</v>
      </c>
      <c r="B7" s="11">
        <f>JAHE!V9</f>
        <v>0</v>
      </c>
      <c r="C7" s="11">
        <f>JAHE!W9</f>
        <v>0</v>
      </c>
      <c r="D7" s="78">
        <f>JAHE!X9</f>
        <v>0</v>
      </c>
      <c r="E7" s="79">
        <f>JAHE!Y9</f>
        <v>0</v>
      </c>
      <c r="F7" s="79">
        <f>JAHE!Z9</f>
        <v>0</v>
      </c>
      <c r="G7" s="78">
        <f>JAHE!AA9</f>
        <v>0</v>
      </c>
      <c r="H7" s="1" t="s">
        <v>101</v>
      </c>
      <c r="I7" s="1" t="str">
        <f t="shared" si="0"/>
        <v>Laporan Produksi Jahe</v>
      </c>
      <c r="J7" s="81" t="s">
        <v>102</v>
      </c>
      <c r="K7" s="1" t="s">
        <v>120</v>
      </c>
    </row>
    <row r="8" spans="1:11" ht="14.25" customHeight="1" x14ac:dyDescent="0.25">
      <c r="A8" s="1" t="s">
        <v>103</v>
      </c>
      <c r="B8" s="11">
        <f>JERUK!V10</f>
        <v>0</v>
      </c>
      <c r="C8" s="11">
        <f>JERUK!W10</f>
        <v>0</v>
      </c>
      <c r="D8" s="78">
        <f>JERUK!X10</f>
        <v>0</v>
      </c>
      <c r="E8" s="79">
        <f>JERUK!Y10</f>
        <v>0</v>
      </c>
      <c r="F8" s="79">
        <f>JERUK!Z10</f>
        <v>0</v>
      </c>
      <c r="G8" s="78">
        <f>JERUK!AA10</f>
        <v>0</v>
      </c>
      <c r="H8" s="1" t="s">
        <v>104</v>
      </c>
      <c r="I8" s="1" t="str">
        <f t="shared" si="0"/>
        <v>Laporan Produksi Jeruk</v>
      </c>
      <c r="J8" s="81" t="s">
        <v>105</v>
      </c>
      <c r="K8" s="1" t="s">
        <v>121</v>
      </c>
    </row>
    <row r="9" spans="1:11" ht="14.25" customHeight="1" x14ac:dyDescent="0.25">
      <c r="A9" s="1" t="s">
        <v>106</v>
      </c>
      <c r="B9" s="11">
        <f>KOPI!V9</f>
        <v>0</v>
      </c>
      <c r="C9" s="11">
        <f>KOPI!W9</f>
        <v>0</v>
      </c>
      <c r="D9" s="78">
        <f>KOPI!X9</f>
        <v>0</v>
      </c>
      <c r="E9" s="79">
        <f>KOPI!Y9</f>
        <v>0</v>
      </c>
      <c r="F9" s="79">
        <f>KOPI!Z9</f>
        <v>0</v>
      </c>
      <c r="G9" s="78">
        <f>KOPI!AA9</f>
        <v>0</v>
      </c>
      <c r="H9" s="1" t="s">
        <v>107</v>
      </c>
      <c r="I9" s="1" t="str">
        <f t="shared" si="0"/>
        <v>Laporan Produksi Kopi</v>
      </c>
      <c r="J9" s="81" t="s">
        <v>108</v>
      </c>
      <c r="K9" s="1" t="s">
        <v>122</v>
      </c>
    </row>
    <row r="10" spans="1:11" ht="14.25" customHeight="1" x14ac:dyDescent="0.25">
      <c r="A10" s="1" t="s">
        <v>109</v>
      </c>
      <c r="B10" s="11">
        <f>TEH!V9</f>
        <v>0</v>
      </c>
      <c r="C10" s="11">
        <f>TEH!W9</f>
        <v>0</v>
      </c>
      <c r="D10" s="78">
        <f>TEH!X9</f>
        <v>0</v>
      </c>
      <c r="E10" s="79">
        <f>TEH!Y9</f>
        <v>0</v>
      </c>
      <c r="F10" s="79">
        <f>TEH!Z9</f>
        <v>0</v>
      </c>
      <c r="G10" s="78">
        <f>TEH!AA9</f>
        <v>0</v>
      </c>
      <c r="H10" s="1" t="s">
        <v>110</v>
      </c>
      <c r="I10" s="1" t="str">
        <f t="shared" si="0"/>
        <v>Laporan Produksi Teh</v>
      </c>
      <c r="J10" s="81" t="s">
        <v>111</v>
      </c>
      <c r="K10" s="1" t="s">
        <v>123</v>
      </c>
    </row>
    <row r="11" spans="1:11" ht="14.25" customHeight="1" x14ac:dyDescent="0.25">
      <c r="A11" s="1" t="s">
        <v>112</v>
      </c>
      <c r="B11" s="11" t="e">
        <f>#REF!</f>
        <v>#REF!</v>
      </c>
      <c r="C11" s="11" t="e">
        <f>#REF!</f>
        <v>#REF!</v>
      </c>
      <c r="D11" s="78" t="e">
        <f>#REF!</f>
        <v>#REF!</v>
      </c>
      <c r="E11" s="79" t="e">
        <f>#REF!</f>
        <v>#REF!</v>
      </c>
      <c r="F11" s="79" t="e">
        <f>#REF!</f>
        <v>#REF!</v>
      </c>
      <c r="G11" s="78" t="e">
        <f>#REF!</f>
        <v>#REF!</v>
      </c>
      <c r="H11" s="1" t="s">
        <v>113</v>
      </c>
      <c r="I11" s="1" t="str">
        <f t="shared" si="0"/>
        <v>Laporan Produksi Tembakau</v>
      </c>
      <c r="J11" s="81" t="s">
        <v>114</v>
      </c>
      <c r="K11" s="1" t="s">
        <v>124</v>
      </c>
    </row>
    <row r="12" spans="1:11" ht="14.25" customHeight="1" x14ac:dyDescent="0.25"/>
    <row r="13" spans="1:11" ht="14.25" customHeight="1" x14ac:dyDescent="0.25"/>
    <row r="14" spans="1:11" ht="14.25" customHeight="1" x14ac:dyDescent="0.25"/>
    <row r="15" spans="1:11" ht="14.25" customHeight="1" x14ac:dyDescent="0.25"/>
    <row r="16" spans="1:11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hyperlinks>
    <hyperlink ref="J2" r:id="rId1" xr:uid="{00000000-0004-0000-1500-000000000000}"/>
    <hyperlink ref="J3" r:id="rId2" xr:uid="{00000000-0004-0000-1500-000001000000}"/>
    <hyperlink ref="J4" r:id="rId3" xr:uid="{00000000-0004-0000-1500-000002000000}"/>
    <hyperlink ref="J5" r:id="rId4" xr:uid="{00000000-0004-0000-1500-000003000000}"/>
    <hyperlink ref="J6" r:id="rId5" xr:uid="{00000000-0004-0000-1500-000004000000}"/>
    <hyperlink ref="J7" r:id="rId6" xr:uid="{00000000-0004-0000-1500-000005000000}"/>
    <hyperlink ref="J8" r:id="rId7" xr:uid="{00000000-0004-0000-1500-000006000000}"/>
    <hyperlink ref="J9" r:id="rId8" xr:uid="{00000000-0004-0000-1500-000007000000}"/>
    <hyperlink ref="J10" r:id="rId9" xr:uid="{00000000-0004-0000-1500-000008000000}"/>
    <hyperlink ref="J11" r:id="rId10" xr:uid="{00000000-0004-0000-1500-000009000000}"/>
  </hyperlinks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PADI</vt:lpstr>
      <vt:lpstr>CABAI</vt:lpstr>
      <vt:lpstr>JAGUNG</vt:lpstr>
      <vt:lpstr>BAWANG MERAH</vt:lpstr>
      <vt:lpstr>JAHE</vt:lpstr>
      <vt:lpstr>KENTANG</vt:lpstr>
      <vt:lpstr>JERUK</vt:lpstr>
      <vt:lpstr>TEH</vt:lpstr>
      <vt:lpstr>KOPI</vt:lpstr>
      <vt:lpstr>Rekap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Dewa Tri Wijaya</dc:creator>
  <cp:lastModifiedBy>Dewa Tri Wijaya</cp:lastModifiedBy>
  <dcterms:created xsi:type="dcterms:W3CDTF">2026-01-04T09:22:36Z</dcterms:created>
  <dcterms:modified xsi:type="dcterms:W3CDTF">2026-01-04T10:40:45Z</dcterms:modified>
</cp:coreProperties>
</file>